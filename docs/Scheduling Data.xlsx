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itch Register" sheetId="3" state="visible" r:id="rId3"/>
    <sheet xmlns:r="http://schemas.openxmlformats.org/officeDocument/2006/relationships" name="Adoption Funnel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Cohort Retention" sheetId="6" state="visible" r:id="rId6"/>
    <sheet xmlns:r="http://schemas.openxmlformats.org/officeDocument/2006/relationships" name="Bookings and Revenue" sheetId="7" state="visible" r:id="rId7"/>
    <sheet xmlns:r="http://schemas.openxmlformats.org/officeDocument/2006/relationships" name="Objection Themes" sheetId="8" state="visible" r:id="rId8"/>
    <sheet xmlns:r="http://schemas.openxmlformats.org/officeDocument/2006/relationships" name="Data 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$#,##0;($#,##0);-"/>
    <numFmt numFmtId="166" formatCode="0.0%"/>
    <numFmt numFmtId="167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i val="1"/>
      <color rgb="00595959"/>
      <sz val="9"/>
    </font>
    <font>
      <name val="Arial"/>
      <i val="1"/>
      <color rgb="00A6A6A6"/>
      <sz val="10"/>
    </font>
    <font>
      <name val="Arial"/>
      <color rgb="000000FF"/>
      <sz val="10"/>
    </font>
    <font>
      <name val="Arial"/>
      <i val="1"/>
      <color rgb="00C00000"/>
      <sz val="9"/>
    </font>
    <font>
      <name val="Arial"/>
      <i val="1"/>
      <color rgb="00375623"/>
      <sz val="9"/>
    </font>
    <font>
      <name val="Arial"/>
      <color rgb="00375623"/>
      <sz val="9"/>
    </font>
    <font>
      <name val="Arial"/>
      <color rgb="00595959"/>
      <sz val="9"/>
    </font>
    <font>
      <name val="Arial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2" fillId="4" borderId="1" pivotButton="0" quotePrefix="0" xfId="0"/>
    <xf numFmtId="0" fontId="5" fillId="4" borderId="1" pivotButton="0" quotePrefix="0" xfId="0"/>
    <xf numFmtId="165" fontId="2" fillId="4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165" fontId="2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7" fillId="4" borderId="1" pivotButton="0" quotePrefix="0" xfId="0"/>
    <xf numFmtId="164" fontId="8" fillId="2" borderId="0" pivotButton="0" quotePrefix="0" xfId="0"/>
    <xf numFmtId="0" fontId="3" fillId="5" borderId="1" pivotButton="0" quotePrefix="0" xfId="0"/>
    <xf numFmtId="0" fontId="2" fillId="2" borderId="1" pivotButton="0" quotePrefix="0" xfId="0"/>
    <xf numFmtId="166" fontId="2" fillId="2" borderId="1" pivotButton="0" quotePrefix="0" xfId="0"/>
    <xf numFmtId="166" fontId="2" fillId="0" borderId="1" pivotButton="0" quotePrefix="0" xfId="0"/>
    <xf numFmtId="165" fontId="2" fillId="2" borderId="1" pivotButton="0" quotePrefix="0" xfId="0"/>
    <xf numFmtId="0" fontId="3" fillId="2" borderId="1" pivotButton="0" quotePrefix="0" xfId="0"/>
    <xf numFmtId="0" fontId="9" fillId="0" borderId="0" pivotButton="0" quotePrefix="0" xfId="0"/>
    <xf numFmtId="164" fontId="2" fillId="4" borderId="1" pivotButton="0" quotePrefix="0" xfId="0"/>
    <xf numFmtId="165" fontId="2" fillId="4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1" pivotButton="0" quotePrefix="0" xfId="0"/>
    <xf numFmtId="166" fontId="3" fillId="0" borderId="1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3" fillId="0" borderId="1" pivotButton="0" quotePrefix="0" xfId="0"/>
    <xf numFmtId="0" fontId="2" fillId="6" borderId="1" pivotButton="0" quotePrefix="0" xfId="0"/>
    <xf numFmtId="164" fontId="2" fillId="6" borderId="1" pivotButton="0" quotePrefix="0" xfId="0"/>
    <xf numFmtId="165" fontId="2" fillId="6" borderId="1" pivotButton="0" quotePrefix="0" xfId="0"/>
    <xf numFmtId="0" fontId="5" fillId="6" borderId="1" pivotButton="0" quotePrefix="0" xfId="0"/>
    <xf numFmtId="0" fontId="2" fillId="7" borderId="1" pivotButton="0" quotePrefix="0" xfId="0"/>
    <xf numFmtId="164" fontId="2" fillId="7" borderId="1" pivotButton="0" quotePrefix="0" xfId="0"/>
    <xf numFmtId="165" fontId="2" fillId="7" borderId="1" pivotButton="0" quotePrefix="0" xfId="0"/>
    <xf numFmtId="0" fontId="5" fillId="7" borderId="1" pivotButton="0" quotePrefix="0" xfId="0"/>
    <xf numFmtId="0" fontId="9" fillId="0" borderId="0" applyAlignment="1" pivotButton="0" quotePrefix="0" xfId="0">
      <alignment vertical="top" wrapText="1"/>
    </xf>
    <xf numFmtId="0" fontId="3" fillId="6" borderId="0" pivotButton="0" quotePrefix="0" xfId="0"/>
    <xf numFmtId="0" fontId="2" fillId="6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right" vertical="center"/>
    </xf>
    <xf numFmtId="0" fontId="11" fillId="2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vertical="center"/>
    </xf>
    <xf numFmtId="0" fontId="12" fillId="2" borderId="2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167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pp.fireflies.ai/view/01KAYKAYKBCVQ5XYNQ4CCMC8CQ" TargetMode="External" Id="rId1"/><Relationship Type="http://schemas.openxmlformats.org/officeDocument/2006/relationships/hyperlink" Target="https://app.fireflies.ai/view/01K9QPXTMT9S4A1ZEQR4VCQ1YK" TargetMode="External" Id="rId2"/><Relationship Type="http://schemas.openxmlformats.org/officeDocument/2006/relationships/hyperlink" Target="https://app.fireflies.ai/view/01KDNRANR044SXDAZM8WXCDEB6" TargetMode="External" Id="rId3"/><Relationship Type="http://schemas.openxmlformats.org/officeDocument/2006/relationships/hyperlink" Target="https://app.fireflies.ai/view/01KBDRXPRXHQWFWZV6GY79SZY1" TargetMode="External" Id="rId4"/><Relationship Type="http://schemas.openxmlformats.org/officeDocument/2006/relationships/hyperlink" Target="https://app.fireflies.ai/view/01KC1YRR0RFSB417KK5D3QRZ2C" TargetMode="External" Id="rId5"/><Relationship Type="http://schemas.openxmlformats.org/officeDocument/2006/relationships/hyperlink" Target="https://app.fireflies.ai/view/01KC351XQ8A57SPCYK6QGNYW5E" TargetMode="External" Id="rId6"/><Relationship Type="http://schemas.openxmlformats.org/officeDocument/2006/relationships/hyperlink" Target="https://app.fireflies.ai/view/01KBJWN904KMXW48TKCWT5BKGD" TargetMode="External" Id="rId7"/><Relationship Type="http://schemas.openxmlformats.org/officeDocument/2006/relationships/hyperlink" Target="https://app.fireflies.ai/view/01KBB68DYF889QK9Q84TH18BST" TargetMode="External" Id="rId8"/><Relationship Type="http://schemas.openxmlformats.org/officeDocument/2006/relationships/hyperlink" Target="https://app.fireflies.ai/view/01KB0B4PZEYJGGV8KMQ2AH7DEX" TargetMode="External" Id="rId9"/><Relationship Type="http://schemas.openxmlformats.org/officeDocument/2006/relationships/hyperlink" Target="https://app.fireflies.ai/view/01KCPBBZSZ983WJP7JCHF9VCCK" TargetMode="External" Id="rId10"/><Relationship Type="http://schemas.openxmlformats.org/officeDocument/2006/relationships/hyperlink" Target="https://app.fireflies.ai/view/01KD919N3MH1RYZGSJDZ6CENHF" TargetMode="External" Id="rId11"/><Relationship Type="http://schemas.openxmlformats.org/officeDocument/2006/relationships/hyperlink" Target="https://app.fireflies.ai/view/01KC2M442HXBWSF2R035BHE830" TargetMode="External" Id="rId12"/><Relationship Type="http://schemas.openxmlformats.org/officeDocument/2006/relationships/hyperlink" Target="https://app.fireflies.ai/view/01KEA8AC6H2B7AMRF9R4GY36KC" TargetMode="External" Id="rId13"/><Relationship Type="http://schemas.openxmlformats.org/officeDocument/2006/relationships/hyperlink" Target="https://app.fireflies.ai/view/01KFNMHNKD47ZNKADHH51JAS59" TargetMode="External" Id="rId14"/><Relationship Type="http://schemas.openxmlformats.org/officeDocument/2006/relationships/hyperlink" Target="https://app.fireflies.ai/view/01KF9GF09D6X5MG694ZMD9ZBBG" TargetMode="External" Id="rId15"/><Relationship Type="http://schemas.openxmlformats.org/officeDocument/2006/relationships/hyperlink" Target="https://app.fireflies.ai/view/01KEMSAQFAW7895XGH3W8EBKAX" TargetMode="External" Id="rId16"/><Relationship Type="http://schemas.openxmlformats.org/officeDocument/2006/relationships/hyperlink" Target="https://app.fireflies.ai/view/01KEZ5WH71N0D3TGDD6CH9XGTP" TargetMode="External" Id="rId17"/><Relationship Type="http://schemas.openxmlformats.org/officeDocument/2006/relationships/hyperlink" Target="https://app.fireflies.ai/view/01KG4XEH6GTC5XG3P1YRB5X0EB" TargetMode="External" Id="rId18"/><Relationship Type="http://schemas.openxmlformats.org/officeDocument/2006/relationships/hyperlink" Target="https://app.fireflies.ai/view/01KF9CGNSZRX8BAQFGA8QVV0YZ" TargetMode="External" Id="rId19"/><Relationship Type="http://schemas.openxmlformats.org/officeDocument/2006/relationships/hyperlink" Target="https://app.fireflies.ai/view/01KEHZE8XSCQ74YRD4N3V3CH4A" TargetMode="External" Id="rId20"/><Relationship Type="http://schemas.openxmlformats.org/officeDocument/2006/relationships/hyperlink" Target="https://app.fireflies.ai/view/01KFXKK11RA3S7ZYGA17H19E6J" TargetMode="External" Id="rId21"/><Relationship Type="http://schemas.openxmlformats.org/officeDocument/2006/relationships/hyperlink" Target="https://app.fireflies.ai/view/01KEEYVCNHYMBQ3B7V0ZWE6XB2" TargetMode="External" Id="rId22"/><Relationship Type="http://schemas.openxmlformats.org/officeDocument/2006/relationships/hyperlink" Target="https://app.fireflies.ai/view/01KF6T3R684V670ZYZ02HRRAQ5" TargetMode="External" Id="rId23"/><Relationship Type="http://schemas.openxmlformats.org/officeDocument/2006/relationships/hyperlink" Target="https://app.fireflies.ai/view/01KFENCRJEHMRKW1VS4RSPA9YX" TargetMode="External" Id="rId24"/><Relationship Type="http://schemas.openxmlformats.org/officeDocument/2006/relationships/hyperlink" Target="https://app.fireflies.ai/view/01KG5PKE83Y6AP91ZQA6TG26GG" TargetMode="External" Id="rId25"/><Relationship Type="http://schemas.openxmlformats.org/officeDocument/2006/relationships/hyperlink" Target="https://app.fireflies.ai/view/01KFBT8324H3JAGYG62HM7DA1M" TargetMode="External" Id="rId26"/><Relationship Type="http://schemas.openxmlformats.org/officeDocument/2006/relationships/hyperlink" Target="https://app.fireflies.ai/view/01KH44M3RQB19QHNKE4ZXXN2N4" TargetMode="External" Id="rId27"/><Relationship Type="http://schemas.openxmlformats.org/officeDocument/2006/relationships/hyperlink" Target="https://app.fireflies.ai/view/01KGQMD5P9QEQ77FCM5S068JQP" TargetMode="External" Id="rId28"/><Relationship Type="http://schemas.openxmlformats.org/officeDocument/2006/relationships/hyperlink" Target="https://app.fireflies.ai/view/01KHV66K771960W641X8BYN9H1" TargetMode="External" Id="rId29"/><Relationship Type="http://schemas.openxmlformats.org/officeDocument/2006/relationships/hyperlink" Target="https://app.fireflies.ai/view/01KH72HJA8Z4R75HJY3AMEN35V" TargetMode="External" Id="rId30"/><Relationship Type="http://schemas.openxmlformats.org/officeDocument/2006/relationships/hyperlink" Target="https://app.fireflies.ai/view/01KGQVWW2GSNEP70EVYZTPWWAW" TargetMode="External" Id="rId31"/><Relationship Type="http://schemas.openxmlformats.org/officeDocument/2006/relationships/hyperlink" Target="https://app.fireflies.ai/view/01KHXZ0GRMKM2AP6M32H1VEEHW" TargetMode="External" Id="rId32"/><Relationship Type="http://schemas.openxmlformats.org/officeDocument/2006/relationships/hyperlink" Target="https://app.fireflies.ai/view/01KJAP02BN6PC5EH8WZESK22JR" TargetMode="External" Id="rId33"/><Relationship Type="http://schemas.openxmlformats.org/officeDocument/2006/relationships/hyperlink" Target="https://app.fireflies.ai/view/01KG0SFG979YSGBQW7H3T70VN3" TargetMode="External" Id="rId34"/><Relationship Type="http://schemas.openxmlformats.org/officeDocument/2006/relationships/hyperlink" Target="https://app.fireflies.ai/view/01KJBDXD0NGTD89A7KBX6NWREC" TargetMode="External" Id="rId35"/><Relationship Type="http://schemas.openxmlformats.org/officeDocument/2006/relationships/hyperlink" Target="https://app.fireflies.ai/view/01KHEX7W7Q1A4HC3XJVCTXJ1DG" TargetMode="External" Id="rId36"/><Relationship Type="http://schemas.openxmlformats.org/officeDocument/2006/relationships/hyperlink" Target="https://app.fireflies.ai/view/01KJDBM0MDK3R8F9N5C932B97Y" TargetMode="External" Id="rId37"/><Relationship Type="http://schemas.openxmlformats.org/officeDocument/2006/relationships/hyperlink" Target="https://app.fireflies.ai/view/01KJ8NC3R1WPAREYSJA564XZA6" TargetMode="External" Id="rId38"/><Relationship Type="http://schemas.openxmlformats.org/officeDocument/2006/relationships/hyperlink" Target="https://app.fireflies.ai/view/01KJFSMZ4KPRMFNC0RF68GD1RB" TargetMode="External" Id="rId39"/><Relationship Type="http://schemas.openxmlformats.org/officeDocument/2006/relationships/hyperlink" Target="https://app.fireflies.ai/view/01KH7GD1K872R4F4P2RYZQ1M8G" TargetMode="External" Id="rId40"/><Relationship Type="http://schemas.openxmlformats.org/officeDocument/2006/relationships/hyperlink" Target="https://app.fireflies.ai/view/01KJ8S5KA7WHQGWXNG7PEMJQ61" TargetMode="External" Id="rId41"/><Relationship Type="http://schemas.openxmlformats.org/officeDocument/2006/relationships/hyperlink" Target="https://app.fireflies.ai/view/01KMJXBQ67Q26TJZ309ACJQFF6" TargetMode="External" Id="rId42"/><Relationship Type="http://schemas.openxmlformats.org/officeDocument/2006/relationships/hyperlink" Target="https://app.fireflies.ai/view/01KKEXFY7Q9W1NPG65K619Y7Q7" TargetMode="External" Id="rId43"/><Relationship Type="http://schemas.openxmlformats.org/officeDocument/2006/relationships/hyperlink" Target="https://app.fireflies.ai/view/01KJNEGPBAQ0EQEM0G14B48Z0T" TargetMode="External" Id="rId44"/><Relationship Type="http://schemas.openxmlformats.org/officeDocument/2006/relationships/hyperlink" Target="https://app.fireflies.ai/view/01KJDRY3VP39YGT71YJ50ACD5B" TargetMode="External" Id="rId45"/><Relationship Type="http://schemas.openxmlformats.org/officeDocument/2006/relationships/hyperlink" Target="https://app.fireflies.ai/view/01KJZ01TMDC81YWBCBGZ3GSJ93" TargetMode="External" Id="rId46"/><Relationship Type="http://schemas.openxmlformats.org/officeDocument/2006/relationships/hyperlink" Target="https://app.fireflies.ai/view/01KN06J3BCSTVZE2SVT647XKGY" TargetMode="External" Id="rId47"/><Relationship Type="http://schemas.openxmlformats.org/officeDocument/2006/relationships/hyperlink" Target="https://app.fireflies.ai/view/01KJB7KX8A3R99N8XZMDYZ62JE" TargetMode="External" Id="rId48"/><Relationship Type="http://schemas.openxmlformats.org/officeDocument/2006/relationships/hyperlink" Target="https://app.fireflies.ai/view/01KJP50JDMS59RK38HC71BGPV8" TargetMode="External" Id="rId49"/><Relationship Type="http://schemas.openxmlformats.org/officeDocument/2006/relationships/hyperlink" Target="https://app.fireflies.ai/view/01KMDW83GV5DX7G18DS87JHBBJ" TargetMode="External" Id="rId50"/><Relationship Type="http://schemas.openxmlformats.org/officeDocument/2006/relationships/hyperlink" Target="https://app.fireflies.ai/view/01KKCPDV4047PB9ZP4GKGT8F78" TargetMode="External" Id="rId51"/><Relationship Type="http://schemas.openxmlformats.org/officeDocument/2006/relationships/hyperlink" Target="https://app.fireflies.ai/view/01KJZ7S6X0SR50J2P9P214SHG6" TargetMode="External" Id="rId52"/><Relationship Type="http://schemas.openxmlformats.org/officeDocument/2006/relationships/hyperlink" Target="https://app.fireflies.ai/view/01KJMP7S05EF85ZPE70FRCQ3WY" TargetMode="External" Id="rId53"/><Relationship Type="http://schemas.openxmlformats.org/officeDocument/2006/relationships/hyperlink" Target="https://app.fireflies.ai/view/01KJV93ZPA4XSQH26Z1PHV9BZZ" TargetMode="External" Id="rId54"/><Relationship Type="http://schemas.openxmlformats.org/officeDocument/2006/relationships/hyperlink" Target="https://app.fireflies.ai/view/01KMGAT7BRFMZNX0BYY59B1KK2" TargetMode="External" Id="rId55"/><Relationship Type="http://schemas.openxmlformats.org/officeDocument/2006/relationships/hyperlink" Target="https://app.fireflies.ai/view/01KJTN4TFFAPWD0PTD09NEZS8M" TargetMode="External" Id="rId56"/><Relationship Type="http://schemas.openxmlformats.org/officeDocument/2006/relationships/hyperlink" Target="https://app.fireflies.ai/view/01KJZ7Y3XZH99QG2T24FE4GKPQ" TargetMode="External" Id="rId57"/><Relationship Type="http://schemas.openxmlformats.org/officeDocument/2006/relationships/hyperlink" Target="https://app.fireflies.ai/view/01KMDXWJAE39ESKC4QVWMQ544G" TargetMode="External" Id="rId58"/><Relationship Type="http://schemas.openxmlformats.org/officeDocument/2006/relationships/hyperlink" Target="https://app.fireflies.ai/view/01KK9S82F1ZD6E956GAPV66ZRC" TargetMode="External" Id="rId59"/><Relationship Type="http://schemas.openxmlformats.org/officeDocument/2006/relationships/hyperlink" Target="https://app.fireflies.ai/view/01KPC1AVR36V2PAVGH0X6VEG9B" TargetMode="External" Id="rId60"/><Relationship Type="http://schemas.openxmlformats.org/officeDocument/2006/relationships/hyperlink" Target="https://app.fireflies.ai/view/01KPTR8JK1MPGZSVAWKZ3XR05Z" TargetMode="External" Id="rId61"/><Relationship Type="http://schemas.openxmlformats.org/officeDocument/2006/relationships/hyperlink" Target="https://app.fireflies.ai/view/01KPVEN5ENJJBQ05S2PMC9RV9K" TargetMode="External" Id="rId62"/><Relationship Type="http://schemas.openxmlformats.org/officeDocument/2006/relationships/hyperlink" Target="https://app.fireflies.ai/view/01KNMQJAWZFTDSDJG0Y2YXBKR7" TargetMode="External" Id="rId63"/><Relationship Type="http://schemas.openxmlformats.org/officeDocument/2006/relationships/hyperlink" Target="https://app.fireflies.ai/view/01KNQADR0NA9J6XTJ9GFJV7P0X" TargetMode="External" Id="rId64"/><Relationship Type="http://schemas.openxmlformats.org/officeDocument/2006/relationships/hyperlink" Target="https://app.fireflies.ai/view/01KQB4AQKNF5TWGG58X9TFR83B" TargetMode="External" Id="rId65"/><Relationship Type="http://schemas.openxmlformats.org/officeDocument/2006/relationships/hyperlink" Target="https://app.fireflies.ai/view/01KP6ZZXYV9HCJ7WVFQTHJ3CNV" TargetMode="External" Id="rId66"/><Relationship Type="http://schemas.openxmlformats.org/officeDocument/2006/relationships/hyperlink" Target="https://app.fireflies.ai/view/01KQAMTSCEQFS28KC3GZS2GT5F" TargetMode="External" Id="rId67"/><Relationship Type="http://schemas.openxmlformats.org/officeDocument/2006/relationships/hyperlink" Target="https://app.fireflies.ai/view/01KPBQE132Q2PATKRFZB6PTH05" TargetMode="External" Id="rId68"/><Relationship Type="http://schemas.openxmlformats.org/officeDocument/2006/relationships/hyperlink" Target="https://app.fireflies.ai/view/01KNQ5JDCAG2EM6BZ4NDN8KMEV" TargetMode="External" Id="rId69"/><Relationship Type="http://schemas.openxmlformats.org/officeDocument/2006/relationships/hyperlink" Target="https://app.fireflies.ai/view/01KP6QP9WQ95FVEBT4D4JH0803" TargetMode="External" Id="rId70"/><Relationship Type="http://schemas.openxmlformats.org/officeDocument/2006/relationships/hyperlink" Target="https://app.fireflies.ai/view/01KNSA4NPMCC24N70MQWYT32J7" TargetMode="External" Id="rId71"/><Relationship Type="http://schemas.openxmlformats.org/officeDocument/2006/relationships/hyperlink" Target="https://app.fireflies.ai/view/01KN24T0BZSVYGXBYSZ9MAW0GS" TargetMode="External" Id="rId72"/><Relationship Type="http://schemas.openxmlformats.org/officeDocument/2006/relationships/hyperlink" Target="https://app.fireflies.ai/view/01KQA3T016XEHZSVVYFDE2D5SY" TargetMode="External" Id="rId73"/><Relationship Type="http://schemas.openxmlformats.org/officeDocument/2006/relationships/hyperlink" Target="https://app.fireflies.ai/view/01KN4E7K6HQAJ850X6NWHKPERF" TargetMode="External" Id="rId74"/><Relationship Type="http://schemas.openxmlformats.org/officeDocument/2006/relationships/hyperlink" Target="https://app.fireflies.ai/view/01KNYTD3M30AQPKSWZY148VRX8" TargetMode="External" Id="rId75"/><Relationship Type="http://schemas.openxmlformats.org/officeDocument/2006/relationships/hyperlink" Target="https://app.fireflies.ai/view/01KPRBJQEAAP74RM86TB1R641H" TargetMode="External" Id="rId76"/><Relationship Type="http://schemas.openxmlformats.org/officeDocument/2006/relationships/hyperlink" Target="https://app.fireflies.ai/view/01KNCQPWWGFK8PGP54VQDTPYMF" TargetMode="External" Id="rId77"/><Relationship Type="http://schemas.openxmlformats.org/officeDocument/2006/relationships/hyperlink" Target="https://app.fireflies.ai/view/01KSB9GG2Q4MGBADEJFGKNB62V" TargetMode="External" Id="rId78"/><Relationship Type="http://schemas.openxmlformats.org/officeDocument/2006/relationships/hyperlink" Target="https://app.fireflies.ai/view/01KQWAC1YMGXB6RW4MQQZ2ZJXV" TargetMode="External" Id="rId79"/><Relationship Type="http://schemas.openxmlformats.org/officeDocument/2006/relationships/hyperlink" Target="https://app.fireflies.ai/view/01KS0RCRY37EWJ41CVWJGJRA5R" TargetMode="External" Id="rId80"/><Relationship Type="http://schemas.openxmlformats.org/officeDocument/2006/relationships/hyperlink" Target="https://app.fireflies.ai/view/01KQZ405N1MWBJZMDCFRT91EA0" TargetMode="External" Id="rId81"/><Relationship Type="http://schemas.openxmlformats.org/officeDocument/2006/relationships/hyperlink" Target="https://app.fireflies.ai/view/01KRBNG5X0TGSX81NT7XFZHHKQ" TargetMode="External" Id="rId82"/><Relationship Type="http://schemas.openxmlformats.org/officeDocument/2006/relationships/hyperlink" Target="https://app.fireflies.ai/view/01KS0T8F8YAZYMTXV50WER21S2" TargetMode="External" Id="rId83"/><Relationship Type="http://schemas.openxmlformats.org/officeDocument/2006/relationships/hyperlink" Target="https://app.fireflies.ai/view/01KQWKRQ537087HEFQBFTWHQNJ" TargetMode="External" Id="rId84"/><Relationship Type="http://schemas.openxmlformats.org/officeDocument/2006/relationships/hyperlink" Target="https://app.fireflies.ai/view/01KV173N8BCDKQT87ZYKHRKH3R" TargetMode="External" Id="rId85"/><Relationship Type="http://schemas.openxmlformats.org/officeDocument/2006/relationships/hyperlink" Target="https://app.fireflies.ai/view/01KV6GFTW84VB0BDF0RJRH78G2" TargetMode="External" Id="rId86"/><Relationship Type="http://schemas.openxmlformats.org/officeDocument/2006/relationships/hyperlink" Target="https://app.fireflies.ai/view/01KTPYX5D4R9H9BME1FRK85VYJ" TargetMode="External" Id="rId87"/><Relationship Type="http://schemas.openxmlformats.org/officeDocument/2006/relationships/hyperlink" Target="https://app.fireflies.ai/view/01KV5QBCDXV65AHVPAK08HHYPH" TargetMode="External" Id="rId88"/><Relationship Type="http://schemas.openxmlformats.org/officeDocument/2006/relationships/hyperlink" Target="https://app.fireflies.ai/view/01KVRDDT3WWBRBAGTV30105WT3" TargetMode="External" Id="rId89"/><Relationship Type="http://schemas.openxmlformats.org/officeDocument/2006/relationships/hyperlink" Target="https://app.fireflies.ai/view/01KTRV76FDXVJ8X6QCK2PYBFKN" TargetMode="External" Id="rId90"/><Relationship Type="http://schemas.openxmlformats.org/officeDocument/2006/relationships/hyperlink" Target="https://app.fireflies.ai/view/01KTQCEQNQHK46428Z5A9PD0YQ" TargetMode="External" Id="rId91"/><Relationship Type="http://schemas.openxmlformats.org/officeDocument/2006/relationships/hyperlink" Target="https://app.fireflies.ai/view/01KW025K4TQWSNET5YJ32943Z8" TargetMode="External" Id="rId92"/><Relationship Type="http://schemas.openxmlformats.org/officeDocument/2006/relationships/hyperlink" Target="https://app.fireflies.ai/view/01KV6FR0F5PX5C54J2M2M9ER5S" TargetMode="External" Id="rId93"/><Relationship Type="http://schemas.openxmlformats.org/officeDocument/2006/relationships/hyperlink" Target="https://app.fireflies.ai/view/01KW5FYCSVYEFEAECTBB7FET5S" TargetMode="External" Id="rId94"/><Relationship Type="http://schemas.openxmlformats.org/officeDocument/2006/relationships/hyperlink" Target="https://app.fireflies.ai/view/01KVKPTP962X3F5XTFD0DPSXW4" TargetMode="External" Id="rId95"/><Relationship Type="http://schemas.openxmlformats.org/officeDocument/2006/relationships/hyperlink" Target="https://app.fireflies.ai/view/01KTVH5WMGJ2P73K6VZ04BCDY9" TargetMode="External" Id="rId96"/><Relationship Type="http://schemas.openxmlformats.org/officeDocument/2006/relationships/hyperlink" Target="https://app.fireflies.ai/view/01KW22JEY4PT5A52C7WC4ACXGM" TargetMode="External" Id="rId97"/><Relationship Type="http://schemas.openxmlformats.org/officeDocument/2006/relationships/hyperlink" Target="https://app.fireflies.ai/view/01KV62S9KX8J3R72DT74ZXJZHT" TargetMode="External" Id="rId98"/><Relationship Type="http://schemas.openxmlformats.org/officeDocument/2006/relationships/hyperlink" Target="https://app.fireflies.ai/view/01KTM8H1DWQRNYR44QF7JETW29" TargetMode="External" Id="rId99"/><Relationship Type="http://schemas.openxmlformats.org/officeDocument/2006/relationships/hyperlink" Target="https://app.fireflies.ai/view/01KVE01TNT4YXZWH2EXZMJ5XX8" TargetMode="External" Id="rId100"/><Relationship Type="http://schemas.openxmlformats.org/officeDocument/2006/relationships/hyperlink" Target="https://app.fireflies.ai/view/01KW530PAET6XY0WC2P13SAZKA" TargetMode="External" Id="rId101"/><Relationship Type="http://schemas.openxmlformats.org/officeDocument/2006/relationships/hyperlink" Target="https://app.fireflies.ai/view/01KVXGBW8MSWE8B585TNFKMT1Z" TargetMode="External" Id="rId102"/><Relationship Type="http://schemas.openxmlformats.org/officeDocument/2006/relationships/hyperlink" Target="https://app.fireflies.ai/view/01KWCRJ7JH8FF1G86G7QA39QKG" TargetMode="External" Id="rId103"/><Relationship Type="http://schemas.openxmlformats.org/officeDocument/2006/relationships/hyperlink" Target="https://app.fireflies.ai/view/01KTPMBX3WFR2DEAB45YV9952T" TargetMode="External" Id="rId104"/><Relationship Type="http://schemas.openxmlformats.org/officeDocument/2006/relationships/hyperlink" Target="https://app.fireflies.ai/view/01KV1EC279F91V0KEWE72R3GEH" TargetMode="External" Id="rId105"/><Relationship Type="http://schemas.openxmlformats.org/officeDocument/2006/relationships/hyperlink" Target="https://app.fireflies.ai/view/01KV6RD0Q9R47T91DHAMEXGJT8" TargetMode="External" Id="rId106"/><Relationship Type="http://schemas.openxmlformats.org/officeDocument/2006/relationships/hyperlink" Target="https://app.fireflies.ai/view/01KWW24X2QPPZKH0C77E80JBG7" TargetMode="External" Id="rId107"/><Relationship Type="http://schemas.openxmlformats.org/officeDocument/2006/relationships/hyperlink" Target="https://app.fireflies.ai/view/01KYJRN9132V91XPZG9TAGSBVF" TargetMode="External" Id="rId108"/><Relationship Type="http://schemas.openxmlformats.org/officeDocument/2006/relationships/hyperlink" Target="https://app.fireflies.ai/view/01KXV5W2QX9H2GGWF4KMESMY35" TargetMode="External" Id="rId109"/><Relationship Type="http://schemas.openxmlformats.org/officeDocument/2006/relationships/hyperlink" Target="https://app.fireflies.ai/view/01KWX09A38MTKGHMKEQA20FXKT" TargetMode="External" Id="rId110"/><Relationship Type="http://schemas.openxmlformats.org/officeDocument/2006/relationships/hyperlink" Target="https://app.fireflies.ai/view/01KX5YW47FMWNFHTZGMAQGNCH7" TargetMode="External" Id="rId111"/><Relationship Type="http://schemas.openxmlformats.org/officeDocument/2006/relationships/hyperlink" Target="https://app.fireflies.ai/view/01KX9YTWDBV98JQ3G7805P12DJ" TargetMode="External" Id="rId112"/><Relationship Type="http://schemas.openxmlformats.org/officeDocument/2006/relationships/hyperlink" Target="https://app.fireflies.ai/view/01KY8A9JQ93R3BAVMGQJPK2T68" TargetMode="External" Id="rId113"/><Relationship Type="http://schemas.openxmlformats.org/officeDocument/2006/relationships/hyperlink" Target="https://app.fireflies.ai/view/01KXP62QZ2DFHTGSVBVD5HGBVN" TargetMode="External" Id="rId114"/><Relationship Type="http://schemas.openxmlformats.org/officeDocument/2006/relationships/hyperlink" Target="https://app.fireflies.ai/view/01KX1TW7J9955SAGPGZMNKP1XC" TargetMode="External" Id="rId115"/><Relationship Type="http://schemas.openxmlformats.org/officeDocument/2006/relationships/hyperlink" Target="https://app.fireflies.ai/view/01KYQ4395RE1R9VQPWVE4MK5FM" TargetMode="External" Id="rId116"/><Relationship Type="http://schemas.openxmlformats.org/officeDocument/2006/relationships/hyperlink" Target="https://app.fireflies.ai/view/01KY04M406B4JEKTSKE3MNMX2N" TargetMode="External" Id="rId117"/><Relationship Type="http://schemas.openxmlformats.org/officeDocument/2006/relationships/hyperlink" Target="https://app.fireflies.ai/view/01KX9A7QKG7A6146MM396ZQVT0" TargetMode="External" Id="rId118"/><Relationship Type="http://schemas.openxmlformats.org/officeDocument/2006/relationships/hyperlink" Target="https://app.fireflies.ai/view/01KWZEF6KNDECHX8JBN2330AQQ" TargetMode="External" Id="rId119"/><Relationship Type="http://schemas.openxmlformats.org/officeDocument/2006/relationships/hyperlink" Target="https://app.fireflies.ai/view/01KXK1QEKDY8T4A2DMMTH7N9V9" TargetMode="External" Id="rId120"/><Relationship Type="http://schemas.openxmlformats.org/officeDocument/2006/relationships/hyperlink" Target="https://app.fireflies.ai/view/01KX94JHP63JFZFR3415Z7NRPW" TargetMode="External" Id="rId121"/><Relationship Type="http://schemas.openxmlformats.org/officeDocument/2006/relationships/hyperlink" Target="https://app.fireflies.ai/view/01KYMHWX0TDAAAJN8GJ3GQ22H1" TargetMode="External" Id="rId122"/><Relationship Type="http://schemas.openxmlformats.org/officeDocument/2006/relationships/hyperlink" Target="https://app.fireflies.ai/view/01KYA73PFQN6MWTK8AGXV97KG1" TargetMode="External" Id="rId123"/><Relationship Type="http://schemas.openxmlformats.org/officeDocument/2006/relationships/hyperlink" Target="https://app.fireflies.ai/view/01KXEJAWSX2XGK0W8ZZ1VDEP1N" TargetMode="External" Id="rId124"/><Relationship Type="http://schemas.openxmlformats.org/officeDocument/2006/relationships/hyperlink" Target="https://app.fireflies.ai/view/01KYFZ29BFNNGKDNWBJB49ZHA3" TargetMode="External" Id="rId125"/><Relationship Type="http://schemas.openxmlformats.org/officeDocument/2006/relationships/hyperlink" Target="https://app.fireflies.ai/view/01KYAP8ZXGZ4B8BEJ6A9GT08PM" TargetMode="External" Id="rId126"/><Relationship Type="http://schemas.openxmlformats.org/officeDocument/2006/relationships/hyperlink" Target="https://app.fireflies.ai/view/01KXE66VDG2696QEYJGVJSFDAH" TargetMode="External" Id="rId127"/><Relationship Type="http://schemas.openxmlformats.org/officeDocument/2006/relationships/hyperlink" Target="https://app.fireflies.ai/view/01KYMZ7M7SG04KMT1PA52H4S3Z" TargetMode="External" Id="rId128"/><Relationship Type="http://schemas.openxmlformats.org/officeDocument/2006/relationships/hyperlink" Target="https://app.fireflies.ai/view/01KX1MYVNPSDVG0504QQGNA4FF" TargetMode="External" Id="rId129"/><Relationship Type="http://schemas.openxmlformats.org/officeDocument/2006/relationships/hyperlink" Target="https://app.fireflies.ai/view/01KWAK2D8NJRQNAVVCQV5PT97F" TargetMode="External" Id="rId130"/><Relationship Type="http://schemas.openxmlformats.org/officeDocument/2006/relationships/hyperlink" Target="https://app.fireflies.ai/view/01KWW3B796KPZEWZBRJE2D374M" TargetMode="External" Id="rId131"/><Relationship Type="http://schemas.openxmlformats.org/officeDocument/2006/relationships/hyperlink" Target="https://app.fireflies.ai/view/01KX3YRPZJN7A1YY74F79E7Z2W" TargetMode="External" Id="rId132"/><Relationship Type="http://schemas.openxmlformats.org/officeDocument/2006/relationships/hyperlink" Target="https://app.fireflies.ai/view/01KWVPTCMXKB5J9ZD0K6VW5GG7" TargetMode="External" Id="rId133"/><Relationship Type="http://schemas.openxmlformats.org/officeDocument/2006/relationships/hyperlink" Target="https://app.fireflies.ai/view/01KXVMDBQRSR399KE16S0593YF" TargetMode="External" Id="rId134"/><Relationship Type="http://schemas.openxmlformats.org/officeDocument/2006/relationships/hyperlink" Target="https://app.fireflies.ai/view/01KY5VZ3CHSJ0223AAPJX283JW" TargetMode="External" Id="rId135"/><Relationship Type="http://schemas.openxmlformats.org/officeDocument/2006/relationships/hyperlink" Target="https://app.fireflies.ai/view/01KXEF15P3FR4ZKH42455BJSR8" TargetMode="External" Id="rId136"/><Relationship Type="http://schemas.openxmlformats.org/officeDocument/2006/relationships/hyperlink" Target="https://app.fireflies.ai/view/01KYMZ9PASJRVJABRQSCMNM6PQ" TargetMode="External" Id="rId137"/><Relationship Type="http://schemas.openxmlformats.org/officeDocument/2006/relationships/hyperlink" Target="https://app.fireflies.ai/view/01KWSP6FJGJ1SM0G3G1AJCRD26" TargetMode="External" Id="rId138"/><Relationship Type="http://schemas.openxmlformats.org/officeDocument/2006/relationships/hyperlink" Target="https://app.fireflies.ai/view/01KXGCTRYCB29GK1PZJVKATF9P" TargetMode="External" Id="rId139"/><Relationship Type="http://schemas.openxmlformats.org/officeDocument/2006/relationships/hyperlink" Target="https://app.fireflies.ai/view/01KX4BBY9MV0M2MJ1VJ90QKBHA" TargetMode="External" Id="rId140"/><Relationship Type="http://schemas.openxmlformats.org/officeDocument/2006/relationships/hyperlink" Target="https://app.fireflies.ai/view/01KXVMDBS01BQ70YFYHYYS4F5V" TargetMode="External" Id="rId141"/><Relationship Type="http://schemas.openxmlformats.org/officeDocument/2006/relationships/hyperlink" Target="https://app.fireflies.ai/view/01KYN58Z4CQ3X4BWF1BPN23N6R" TargetMode="External" Id="rId142"/><Relationship Type="http://schemas.openxmlformats.org/officeDocument/2006/relationships/hyperlink" Target="https://app.fireflies.ai/view/01KYQTGFZ81HZETWHZ5VS9Q7EG" TargetMode="External" Id="rId143"/><Relationship Type="http://schemas.openxmlformats.org/officeDocument/2006/relationships/hyperlink" Target="https://app.fireflies.ai/view/01KWMMM9YF2D3M244HJ4442SBS" TargetMode="External" Id="rId144"/><Relationship Type="http://schemas.openxmlformats.org/officeDocument/2006/relationships/hyperlink" Target="https://app.fireflies.ai/view/01KWSEMR4B4B1B2JXMJWKSTFVM" TargetMode="External" Id="rId145"/><Relationship Type="http://schemas.openxmlformats.org/officeDocument/2006/relationships/hyperlink" Target="https://app.fireflies.ai/view/01KYWDYRT4C0W0QNHZHSGPB2F2" TargetMode="External" Id="rId146"/><Relationship Type="http://schemas.openxmlformats.org/officeDocument/2006/relationships/hyperlink" Target="https://app.fireflies.ai/view/01KWFSZ5SJH6JF865SN7FNQ472" TargetMode="External" Id="rId147"/><Relationship Type="http://schemas.openxmlformats.org/officeDocument/2006/relationships/hyperlink" Target="https://app.fireflies.ai/view/01KZ4AJ12HCX5SKMSE1BSDX5KQ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8" customWidth="1" min="2" max="2"/>
  </cols>
  <sheetData>
    <row r="1">
      <c r="A1" s="1" t="inlineStr">
        <is>
          <t>Scheduling — pitch, adoption and retention  (v3, validated 04/08/26)</t>
        </is>
      </c>
    </row>
    <row r="3">
      <c r="A3" s="2" t="inlineStr"/>
      <c r="B3" s="3" t="inlineStr"/>
    </row>
    <row r="4">
      <c r="A4" s="2" t="inlineStr">
        <is>
          <t>Version</t>
        </is>
      </c>
      <c r="B4" s="3" t="inlineStr">
        <is>
          <t>v3 — 04/08/26. Pitch window widened to all months (median conversion lag is 35 days, so a single-month window understates). Adoption sheets rebuilt on 178 LEGITIMATE locations after removing 237 is_test and 29 is_active=FALSE entities. Payments date-filtered to post-launch. Pitch register screened for test entities: zero contamination.</t>
        </is>
      </c>
    </row>
    <row r="5">
      <c r="A5" s="2" t="inlineStr">
        <is>
          <t>Definitions contract</t>
        </is>
      </c>
      <c r="B5" s="3" t="inlineStr">
        <is>
          <t>docs/scheduling-metric-definitions.md — every term here has one meaning. Read it before quoting anything.</t>
        </is>
      </c>
    </row>
    <row r="6">
      <c r="A6" s="2" t="inlineStr">
        <is>
          <t>As-of date</t>
        </is>
      </c>
      <c r="B6" s="3" t="inlineStr">
        <is>
          <t>03/08/26. Launch date 30/01/26. All trailing-window tests run off the as-of cell on Summary.</t>
        </is>
      </c>
    </row>
    <row r="7">
      <c r="A7" s="2" t="inlineStr">
        <is>
          <t>Source</t>
        </is>
      </c>
      <c r="B7" s="3" t="inlineStr">
        <is>
          <t>Aurora via Metabase DB 7 — scheduling.*, chargebee.*, sales.fireflies_meeting, gbp.*, entities.*</t>
        </is>
      </c>
    </row>
    <row r="8">
      <c r="A8" s="2" t="inlineStr"/>
      <c r="B8" s="3" t="inlineStr"/>
    </row>
    <row r="9">
      <c r="A9" s="4" t="inlineStr">
        <is>
          <t>HEADLINE</t>
        </is>
      </c>
      <c r="B9" s="3" t="inlineStr"/>
    </row>
    <row r="10">
      <c r="A10" s="5" t="inlineStr">
        <is>
          <t>Accounts pitched (Nov 25 - Aug 26)</t>
        </is>
      </c>
      <c r="B10" s="6" t="inlineStr">
        <is>
          <t>148  (133 still active)</t>
        </is>
      </c>
    </row>
    <row r="11">
      <c r="A11" s="5" t="inlineStr">
        <is>
          <t>…reached scheduling enabled</t>
        </is>
      </c>
      <c r="B11" s="6" t="inlineStr">
        <is>
          <t>23 onboarded to enabled; 23 taking bookings; median 35-day lag</t>
        </is>
      </c>
    </row>
    <row r="12">
      <c r="A12" s="2" t="inlineStr">
        <is>
          <t>…never started onboarding</t>
        </is>
      </c>
      <c r="B12" s="3" t="inlineStr">
        <is>
          <t>50  (79%)</t>
        </is>
      </c>
    </row>
    <row r="13">
      <c r="A13" s="2" t="inlineStr">
        <is>
          <t>Legitimate locations in adoption sheets</t>
        </is>
      </c>
      <c r="B13" s="3" t="inlineStr">
        <is>
          <t>178  (raw table holds 446; 237 are is_test, 29 inactive, 4 unverifiable)</t>
        </is>
      </c>
    </row>
    <row r="14">
      <c r="A14" s="2" t="inlineStr">
        <is>
          <t>Locations enabled (config flag)</t>
        </is>
      </c>
      <c r="B14" s="3" t="inlineStr">
        <is>
          <t>140</t>
        </is>
      </c>
    </row>
    <row r="15">
      <c r="A15" s="2" t="inlineStr">
        <is>
          <t>Locations still booking in last 30d</t>
        </is>
      </c>
      <c r="B15" s="3" t="inlineStr">
        <is>
          <t>112</t>
        </is>
      </c>
    </row>
    <row r="16">
      <c r="A16" s="2" t="inlineStr">
        <is>
          <t>Value processed through scheduling</t>
        </is>
      </c>
      <c r="B16" s="3" t="inlineStr">
        <is>
          <t>$249,919 across the 178 legitimate locations; $328,021 platform-wide post-launch</t>
        </is>
      </c>
    </row>
    <row r="17">
      <c r="A17" s="5" t="inlineStr">
        <is>
          <t>Customer-made bookings since launch</t>
        </is>
      </c>
      <c r="B17" s="6" t="inlineStr">
        <is>
          <t>4,627 — zero pre-launch contamination; the cleanest proof the product works</t>
        </is>
      </c>
    </row>
    <row r="18">
      <c r="A18" s="2" t="inlineStr"/>
      <c r="B18" s="3" t="inlineStr"/>
    </row>
    <row r="19">
      <c r="A19" s="4" t="inlineStr">
        <is>
          <t>WHAT V1 GOT WRONG</t>
        </is>
      </c>
      <c r="B19" s="3" t="inlineStr"/>
    </row>
    <row r="20">
      <c r="A20" s="2" t="inlineStr">
        <is>
          <t>Pitch count 98 → 63</t>
        </is>
      </c>
      <c r="B20" s="3" t="inlineStr">
        <is>
          <t>The offer regex had no word boundary, so 'our booking platform' also matched 'y-OUR booking platform'. Reps discussing the customer's EXISTING system were counted as Zoca pitches — 55% false positives on a 22-call sample. Fixed with \mour.</t>
        </is>
      </c>
    </row>
    <row r="21">
      <c r="A21" s="2" t="inlineStr">
        <is>
          <t>Conversion 15 → 8</t>
        </is>
      </c>
      <c r="B21" s="3" t="inlineStr">
        <is>
          <t>Same cause, plus counting per Chargebee customer record. 2,026 records hold 1,799 distinct emails; 89 emails map to multiple records. v2 resolves to entity_id.</t>
        </is>
      </c>
    </row>
    <row r="22">
      <c r="A22" s="2" t="inlineStr">
        <is>
          <t>Native bookings 23,019 → 9,605</t>
        </is>
      </c>
      <c r="B22" s="3" t="inlineStr">
        <is>
          <t>'migration_source IS NULL' does NOT mean earned on Zoca. 33 entities had history imported with no migration tag; 13,266 bookings predated launch. v2 counts only bookings created between 30/01/26 and the as-of date.</t>
        </is>
      </c>
    </row>
    <row r="23">
      <c r="A23" s="2" t="inlineStr">
        <is>
          <t>'Ever booked' 279 vs 286</t>
        </is>
      </c>
      <c r="B23" s="3" t="inlineStr">
        <is>
          <t>v1 gave the same label to two different populations on two sheets (one conditioned on the enabled flag, one not). v2 uses 'Operationally live' everywhere and the sheets reconcile exactly.</t>
        </is>
      </c>
    </row>
    <row r="24">
      <c r="A24" s="2" t="inlineStr">
        <is>
          <t>Cohort footnote</t>
        </is>
      </c>
      <c r="B24" s="3" t="inlineStr">
        <is>
          <t>v1 claimed 'every settled cohort lands at 20-25%'. Only one of six cohorts did. Removed.</t>
        </is>
      </c>
    </row>
    <row r="25">
      <c r="A25" s="2" t="inlineStr"/>
      <c r="B25" s="3" t="inlineStr"/>
    </row>
    <row r="26">
      <c r="A26" s="4" t="inlineStr">
        <is>
          <t>DEFINITIONS THAT MATTER MOST</t>
        </is>
      </c>
      <c r="B26" s="3" t="inlineStr"/>
    </row>
    <row r="27">
      <c r="A27" s="2" t="inlineStr">
        <is>
          <t>Earned booking</t>
        </is>
      </c>
      <c r="B27" s="3" t="inlineStr">
        <is>
          <t>migration_source IS NULL AND created_at between 30/01/26 and the as-of date. Excludes untagged imported history and 351 future-dated rows.</t>
        </is>
      </c>
    </row>
    <row r="28">
      <c r="A28" s="2" t="inlineStr">
        <is>
          <t>Customer-made booking</t>
        </is>
      </c>
      <c r="B28" s="3" t="inlineStr">
        <is>
          <t>Earned AND created_by_type in ('EC','CLIENT'). The figure that proves demand.</t>
        </is>
      </c>
    </row>
    <row r="29">
      <c r="A29" s="2" t="inlineStr">
        <is>
          <t>Enabled (flag)</t>
        </is>
      </c>
      <c r="B29" s="3" t="inlineStr">
        <is>
          <t>is_scheduling_enabled = TRUE. A CONFIGURATION flag and it is unreliable — 7 locations took real bookings while flagged FALSE. Use for setup progress only.</t>
        </is>
      </c>
    </row>
    <row r="30">
      <c r="A30" s="2" t="inlineStr">
        <is>
          <t>Operationally live</t>
        </is>
      </c>
      <c r="B30" s="3" t="inlineStr">
        <is>
          <t>Has at least one earned booking, regardless of the flag. Use this for 'is it actually being used'.</t>
        </is>
      </c>
    </row>
    <row r="31">
      <c r="A31" s="2" t="inlineStr">
        <is>
          <t>Live in last 30d</t>
        </is>
      </c>
      <c r="B31" s="3" t="inlineStr">
        <is>
          <t>Most recent EARNED booking within 30 days of the as-of date.</t>
        </is>
      </c>
    </row>
    <row r="32">
      <c r="A32" s="2" t="inlineStr">
        <is>
          <t>Location vs account</t>
        </is>
      </c>
      <c r="B32" s="3" t="inlineStr">
        <is>
          <t>444 locations map to 270 Chargebee customers of any status and 156 active ones. Never quote 444 as an account count.</t>
        </is>
      </c>
    </row>
    <row r="33">
      <c r="A33" s="2" t="inlineStr"/>
      <c r="B33" s="3" t="inlineStr"/>
    </row>
    <row r="34">
      <c r="A34" s="4" t="inlineStr">
        <is>
          <t>COVERAGE LIMITS — STATE THESE WITH THE NUMBER</t>
        </is>
      </c>
      <c r="B34" s="3" t="inlineStr"/>
    </row>
    <row r="35">
      <c r="A35" s="2" t="inlineStr">
        <is>
          <t>63 is a floor</t>
        </is>
      </c>
      <c r="B35" s="3" t="inlineStr">
        <is>
          <t>Only accounts whose call attendee email matches a Chargebee customer are counted; roughly half of external emails match.</t>
        </is>
      </c>
    </row>
    <row r="36">
      <c r="A36" s="2" t="inlineStr">
        <is>
          <t>Prospects excluded</t>
        </is>
      </c>
      <c r="B36" s="3" t="inlineStr">
        <is>
          <t>Pitched emails matching no customer record are new-business pitches, not upsells, and are out of scope.</t>
        </is>
      </c>
    </row>
    <row r="37">
      <c r="A37" s="2" t="inlineStr">
        <is>
          <t>Attribution is temporal</t>
        </is>
      </c>
      <c r="B37" s="3" t="inlineStr">
        <is>
          <t>An onboarding record created after the call is attributed to the pitch. Reasonable in a one-month window; not proven.</t>
        </is>
      </c>
    </row>
    <row r="38">
      <c r="A38" s="2" t="inlineStr">
        <is>
          <t>Live data</t>
        </is>
      </c>
      <c r="B38" s="3" t="inlineStr">
        <is>
          <t>Aurora is queried live and grew during this session. Figures are as at 03/08/26.</t>
        </is>
      </c>
    </row>
    <row r="39">
      <c r="A39" s="2" t="inlineStr"/>
      <c r="B39" s="3" t="inlineStr"/>
    </row>
    <row r="40">
      <c r="A40" s="4" t="inlineStr">
        <is>
          <t>SHEET GUIDE</t>
        </is>
      </c>
      <c r="B40" s="3" t="inlineStr"/>
    </row>
    <row r="41">
      <c r="A41" s="2" t="inlineStr">
        <is>
          <t>Summary</t>
        </is>
      </c>
      <c r="B41" s="3" t="inlineStr">
        <is>
          <t>Headline metrics, all calculated</t>
        </is>
      </c>
    </row>
    <row r="42">
      <c r="A42" s="2" t="inlineStr">
        <is>
          <t>July Pitch Funnel</t>
        </is>
      </c>
      <c r="B42" s="3" t="inlineStr">
        <is>
          <t>1,051 calls narrowed to 63 pitched accounts</t>
        </is>
      </c>
    </row>
    <row r="43">
      <c r="A43" s="2" t="inlineStr">
        <is>
          <t>Pitched Accounts</t>
        </is>
      </c>
      <c r="B43" s="3" t="inlineStr">
        <is>
          <t>74 rows = 63 pitched + 11 already-live (flagged col H). Column F links to the call.</t>
        </is>
      </c>
    </row>
    <row r="44">
      <c r="A44" s="2" t="inlineStr">
        <is>
          <t>Adoption Funnel</t>
        </is>
      </c>
      <c r="B44" s="3" t="inlineStr">
        <is>
          <t>All 444 locations, stage by stage</t>
        </is>
      </c>
    </row>
    <row r="45">
      <c r="A45" s="2" t="inlineStr">
        <is>
          <t>Locations</t>
        </is>
      </c>
      <c r="B45" s="3" t="inlineStr">
        <is>
          <t>Per-location detail, business name in column B</t>
        </is>
      </c>
    </row>
    <row r="46">
      <c r="A46" s="2" t="inlineStr">
        <is>
          <t>Cohort Retention</t>
        </is>
      </c>
      <c r="B46" s="3" t="inlineStr">
        <is>
          <t>Monthly cohorts — same definitions as Adoption Funnel, so totals reconcile</t>
        </is>
      </c>
    </row>
    <row r="47">
      <c r="A47" s="2" t="inlineStr">
        <is>
          <t>Bookings and Revenue</t>
        </is>
      </c>
      <c r="B47" s="3" t="inlineStr">
        <is>
          <t>Earned vs pre-launch vs migrated, payments, incumbents</t>
        </is>
      </c>
    </row>
    <row r="48">
      <c r="A48" s="2" t="inlineStr">
        <is>
          <t>Objection Themes</t>
        </is>
      </c>
      <c r="B48" s="3" t="inlineStr">
        <is>
          <t>Why accounts did not convert</t>
        </is>
      </c>
    </row>
    <row r="49">
      <c r="A49" s="2" t="inlineStr">
        <is>
          <t>Data Quality</t>
        </is>
      </c>
      <c r="B49" s="3" t="inlineStr">
        <is>
          <t>Defects found in the source data itself — read before trusting any booking count</t>
        </is>
      </c>
    </row>
    <row r="51">
      <c r="A51" s="4" t="inlineStr">
        <is>
          <t>QC 04/08/26</t>
        </is>
      </c>
      <c r="B51" s="44" t="inlineStr">
        <is>
          <t>Third instance of the same root cause found and fixed: pre-launch rows inside scheduling.* tables. Payments now filtered to created_at &gt;= 30/01/26. All-time completed payments are $646,104, of which $318,083 predate the launch. Post-launch value is $328,021. Bookings were already corrected for this; payments were not, until now.</t>
        </is>
      </c>
    </row>
    <row r="53">
      <c r="A53" s="4" t="inlineStr">
        <is>
          <t>VALIDATION REGISTER (04/08/26)</t>
        </is>
      </c>
    </row>
    <row r="54">
      <c r="A54" s="45" t="inlineStr">
        <is>
          <t>VALIDATED — 13 onboarded accounts</t>
        </is>
      </c>
      <c r="B54" s="46" t="inlineStr">
        <is>
          <t>Every booking, customer-made and 30-day figure recomputed from raw booking rows in Python, independent of the SQL that built the sheet. 13/13 accounts match exactly, 45/45 rows. Zero mismatches.</t>
        </is>
      </c>
    </row>
    <row r="55">
      <c r="A55" s="45" t="inlineStr">
        <is>
          <t>VALIDATED — core funnel</t>
        </is>
      </c>
      <c r="B55" s="46" t="inlineStr">
        <is>
          <t>63 pitched · 13 onboarded · 8 enabled · 444 locations · 368 enabled · 286 operationally live · 147 live-30d. Recomputed two ways; 132 formulas structurally checked; cohort rows partition all 444; Cohort TOTAL reconciles to Adoption Funnel.</t>
        </is>
      </c>
    </row>
    <row r="56">
      <c r="A56" s="45" t="inlineStr">
        <is>
          <t>VALIDATED — competitor counts</t>
        </is>
      </c>
      <c r="B56" s="46" t="inlineStr">
        <is>
          <t>Vagaro 105 and Acuity 26 confirmed clean under word boundaries.</t>
        </is>
      </c>
    </row>
    <row r="57">
      <c r="A57" s="4" t="inlineStr">
        <is>
          <t>CORRECTED — Square count</t>
        </is>
      </c>
      <c r="B57" s="3" t="inlineStr">
        <is>
          <t>269 -&gt; 101. The unbounded pattern matched non-product uses of the word.</t>
        </is>
      </c>
    </row>
    <row r="58">
      <c r="A58" s="4" t="inlineStr">
        <is>
          <t>CORRECTED — payments scope</t>
        </is>
      </c>
      <c r="B58" s="3" t="inlineStr">
        <is>
          <t>All-time $646,104 included $318,083 created before the 30/01/26 launch. Post-launch value is $328,021. Every payment figure now date-filtered.</t>
        </is>
      </c>
    </row>
    <row r="59">
      <c r="A59" s="4" t="inlineStr">
        <is>
          <t>CORRECTED — onboarding definition</t>
        </is>
      </c>
      <c r="B59" s="3" t="inlineStr">
        <is>
          <t>The 'onboarded successfully' label wrongly claimed to be the company's definition. Card 3778 uses a different rule entirely (see Pitch to Performance).</t>
        </is>
      </c>
    </row>
    <row r="60">
      <c r="A60" s="4" t="inlineStr">
        <is>
          <t>STILL UNVERIFIED — objection themes</t>
        </is>
      </c>
      <c r="B60" s="3" t="inlineStr">
        <is>
          <t>The seven topic counts (deferred, migration effort, price, etc.) were not individually re-audited. Directional only; never present per-account.</t>
        </is>
      </c>
    </row>
    <row r="61">
      <c r="A61" s="4" t="inlineStr">
        <is>
          <t>STILL UNVERIFIED — migration source table</t>
        </is>
      </c>
      <c r="B61" s="3" t="inlineStr">
        <is>
          <t>Hardcoded from v1, not re-queried.</t>
        </is>
      </c>
    </row>
    <row r="62">
      <c r="A62" s="4" t="inlineStr">
        <is>
          <t>STILL UNVERIFIED — business names</t>
        </is>
      </c>
      <c r="B62" s="3" t="inlineStr">
        <is>
          <t>89% coverage from a four-source fallback; not cross-checked against the dashboard's Locations-&gt;Name.</t>
        </is>
      </c>
    </row>
    <row r="63">
      <c r="A63" s="4" t="inlineStr">
        <is>
          <t>INHERENT LIMIT — the 63</t>
        </is>
      </c>
      <c r="B63" s="3" t="inlineStr">
        <is>
          <t>Rests on ~53% email-match coverage between call attendees and Chargebee customers. It is a floor and cannot be validated upward from this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4" customWidth="1" min="3" max="3"/>
  </cols>
  <sheetData>
    <row r="1">
      <c r="A1" s="1" t="inlineStr">
        <is>
          <t>Summary — v2 corrected</t>
        </is>
      </c>
    </row>
    <row r="3">
      <c r="A3" s="4" t="inlineStr">
        <is>
          <t>As-of date (drives every trailing-window test)</t>
        </is>
      </c>
      <c r="B3" s="19">
        <f>DATE(2026,8,3)</f>
        <v/>
      </c>
      <c r="C3" s="16" t="inlineStr">
        <is>
          <t>Blue = input. Change this one cell to re-date the whole workbook.</t>
        </is>
      </c>
    </row>
    <row r="5">
      <c r="A5" s="20" t="inlineStr">
        <is>
          <t>PITCH — ALL MONTHS (Nov 25 – Aug 26)</t>
        </is>
      </c>
      <c r="B5" s="20" t="inlineStr">
        <is>
          <t>Value</t>
        </is>
      </c>
      <c r="C5" s="20" t="inlineStr">
        <is>
          <t>Definition / note</t>
        </is>
      </c>
    </row>
    <row r="6">
      <c r="A6" s="21" t="inlineStr">
        <is>
          <t>Accounts pitched (all months)</t>
        </is>
      </c>
      <c r="B6" s="21">
        <f>COUNTA('Pitch Register'!$A$16:$A$163)</f>
        <v/>
      </c>
      <c r="C6" s="21" t="inlineStr">
        <is>
          <t>Offer made, not already live when pitched. All months Nov 25 - Aug 26.</t>
        </is>
      </c>
    </row>
    <row r="7">
      <c r="A7" s="12" t="inlineStr">
        <is>
          <t>…started onboarding after the pitch</t>
        </is>
      </c>
      <c r="B7" s="12">
        <f>SUMPRODUCT(--('Pitch Register'!$E$16:$E$163&lt;&gt;""))</f>
        <v/>
      </c>
      <c r="C7" s="12" t="inlineStr">
        <is>
          <t>Median 35 days after the pitch; 16 of 31 took over 30 days</t>
        </is>
      </c>
    </row>
    <row r="8">
      <c r="A8" s="21" t="inlineStr">
        <is>
          <t>…reached Enabled (flag)</t>
        </is>
      </c>
      <c r="B8" s="21">
        <f>SUMPRODUCT(--('Pitch Register'!$G$16:$G$163=TRUE))</f>
        <v/>
      </c>
      <c r="C8" s="21" t="inlineStr">
        <is>
          <t>The conversion number</t>
        </is>
      </c>
    </row>
    <row r="9">
      <c r="A9" s="12" t="inlineStr">
        <is>
          <t>…operationally live (has earned bookings)</t>
        </is>
      </c>
      <c r="B9" s="12">
        <f>SUMPRODUCT(--('Pitch Register'!$I$16:$I$163&gt;0))</f>
        <v/>
      </c>
      <c r="C9" s="12" t="inlineStr">
        <is>
          <t>Actually taking bookings</t>
        </is>
      </c>
    </row>
    <row r="10">
      <c r="A10" s="12" t="inlineStr">
        <is>
          <t>…never started onboarding</t>
        </is>
      </c>
      <c r="B10" s="12">
        <f>SUMPRODUCT(--('Pitch Register'!$E$16:$E$163=""))</f>
        <v/>
      </c>
      <c r="C10" s="12" t="inlineStr"/>
    </row>
    <row r="11">
      <c r="A11" s="21" t="inlineStr">
        <is>
          <t>Pitch-to-activation rate</t>
        </is>
      </c>
      <c r="B11" s="22">
        <f>B8/B6</f>
        <v/>
      </c>
      <c r="C11" s="21" t="inlineStr">
        <is>
          <t>Enabled ÷ pitched</t>
        </is>
      </c>
    </row>
    <row r="12">
      <c r="A12" s="12" t="inlineStr">
        <is>
          <t>Excluded — already live at pitch</t>
        </is>
      </c>
      <c r="B12" s="12" t="n">
        <v>25</v>
      </c>
      <c r="C12" s="12" t="inlineStr">
        <is>
          <t>Static: excluded by construction, not present in the Pitch Register</t>
        </is>
      </c>
    </row>
    <row r="14">
      <c r="A14" s="20" t="inlineStr">
        <is>
          <t>ADOPTION — 178 LEGITIMATE LOCATIONS</t>
        </is>
      </c>
      <c r="B14" s="20" t="inlineStr">
        <is>
          <t>Value</t>
        </is>
      </c>
      <c r="C14" s="20" t="inlineStr">
        <is>
          <t>Definition / note</t>
        </is>
      </c>
    </row>
    <row r="15">
      <c r="A15" s="12" t="inlineStr">
        <is>
          <t>Locations entered onboarding</t>
        </is>
      </c>
      <c r="B15" s="12">
        <f>COUNTA(Locations!$A$2:$A$445)</f>
        <v/>
      </c>
      <c r="C15" s="12" t="inlineStr">
        <is>
          <t>LOCATIONS, not accounts</t>
        </is>
      </c>
    </row>
    <row r="16">
      <c r="A16" s="12" t="inlineStr">
        <is>
          <t>Enabled (config flag)</t>
        </is>
      </c>
      <c r="B16" s="12">
        <f>SUMPRODUCT(--(Locations!$M$2:$M$445=TRUE))</f>
        <v/>
      </c>
      <c r="C16" s="12" t="inlineStr">
        <is>
          <t>Setup progress only — flag is unreliable</t>
        </is>
      </c>
    </row>
    <row r="17">
      <c r="A17" s="21" t="inlineStr">
        <is>
          <t>Operationally live (≥1 earned booking)</t>
        </is>
      </c>
      <c r="B17" s="21">
        <f>SUMPRODUCT(--(Locations!$X$2:$X$445=TRUE))</f>
        <v/>
      </c>
      <c r="C17" s="21" t="inlineStr">
        <is>
          <t>The honest 'is it used' measure</t>
        </is>
      </c>
    </row>
    <row r="18">
      <c r="A18" s="21" t="inlineStr">
        <is>
          <t>Live in last 30 days</t>
        </is>
      </c>
      <c r="B18" s="21">
        <f>SUMPRODUCT(--(Locations!$W$2:$W$445&gt;=$B$3-30))</f>
        <v/>
      </c>
      <c r="C18" s="21" t="inlineStr">
        <is>
          <t>Most recent EARNED booking within 30d</t>
        </is>
      </c>
    </row>
    <row r="19">
      <c r="A19" s="21" t="inlineStr">
        <is>
          <t>Dormant (live once, not in last 30d)</t>
        </is>
      </c>
      <c r="B19" s="21">
        <f>B16-B17</f>
        <v/>
      </c>
      <c r="C19" s="21" t="inlineStr">
        <is>
          <t>The core finding</t>
        </is>
      </c>
    </row>
    <row r="20">
      <c r="A20" s="12" t="inlineStr">
        <is>
          <t>Dormant share of operationally live</t>
        </is>
      </c>
      <c r="B20" s="23">
        <f>B18/B16</f>
        <v/>
      </c>
      <c r="C20" s="12" t="inlineStr"/>
    </row>
    <row r="21">
      <c r="A21" s="12" t="inlineStr">
        <is>
          <t>Payments configured</t>
        </is>
      </c>
      <c r="B21" s="12">
        <f>SUMPRODUCT(--(Locations!$J$2:$J$445=TRUE))</f>
        <v/>
      </c>
      <c r="C21" s="12" t="inlineStr"/>
    </row>
    <row r="22">
      <c r="A22" s="21" t="inlineStr">
        <is>
          <t>Payments explicitly skipped</t>
        </is>
      </c>
      <c r="B22" s="21">
        <f>SUMPRODUCT(--(Locations!$K$2:$K$445=TRUE))</f>
        <v/>
      </c>
      <c r="C22" s="21" t="inlineStr">
        <is>
          <t>The single biggest structural break</t>
        </is>
      </c>
    </row>
    <row r="23">
      <c r="A23" s="12" t="inlineStr">
        <is>
          <t>Locations linked to a billed account</t>
        </is>
      </c>
      <c r="B23" s="12">
        <f>SUMPRODUCT(--(Locations!$AB$2:$AB$445&lt;&gt;""))</f>
        <v/>
      </c>
      <c r="C23" s="12" t="inlineStr">
        <is>
          <t>444 locations ≠ 444 accounts</t>
        </is>
      </c>
    </row>
    <row r="25">
      <c r="A25" s="20" t="inlineStr">
        <is>
          <t>VALUE AND VOLUME</t>
        </is>
      </c>
      <c r="B25" s="20" t="inlineStr">
        <is>
          <t>Value</t>
        </is>
      </c>
      <c r="C25" s="20" t="inlineStr">
        <is>
          <t>Definition / note</t>
        </is>
      </c>
    </row>
    <row r="26">
      <c r="A26" s="12" t="inlineStr">
        <is>
          <t>Earned bookings since launch</t>
        </is>
      </c>
      <c r="B26" s="12">
        <f>SUM(Locations!$O$2:$O$445)</f>
        <v/>
      </c>
      <c r="C26" s="12" t="inlineStr">
        <is>
          <t>Excludes untagged pre-launch history and future-dated</t>
        </is>
      </c>
    </row>
    <row r="27">
      <c r="A27" s="21" t="inlineStr">
        <is>
          <t>Customer-made bookings</t>
        </is>
      </c>
      <c r="B27" s="21">
        <f>SUM(Locations!$P$2:$P$445)</f>
        <v/>
      </c>
      <c r="C27" s="21" t="inlineStr">
        <is>
          <t>Zero pre-launch contamination — the cleanest proof of demand</t>
        </is>
      </c>
    </row>
    <row r="28">
      <c r="A28" s="12" t="inlineStr">
        <is>
          <t>Staff-made bookings</t>
        </is>
      </c>
      <c r="B28" s="12">
        <f>SUM(Locations!$Q$2:$Q$445)</f>
        <v/>
      </c>
      <c r="C28" s="12" t="inlineStr"/>
    </row>
    <row r="29">
      <c r="A29" s="12" t="inlineStr">
        <is>
          <t>Pre-launch untagged (EXCLUDED)</t>
        </is>
      </c>
      <c r="B29" s="12">
        <f>SUM(Locations!$R$2:$R$445)</f>
        <v/>
      </c>
      <c r="C29" s="12" t="inlineStr">
        <is>
          <t>Imported history with no migration_source tag — v1 counted these as organic</t>
        </is>
      </c>
    </row>
    <row r="30">
      <c r="A30" s="12" t="inlineStr">
        <is>
          <t>Tagged migration (EXCLUDED)</t>
        </is>
      </c>
      <c r="B30" s="12">
        <f>SUM(Locations!$S$2:$S$445)</f>
        <v/>
      </c>
      <c r="C30" s="12" t="inlineStr">
        <is>
          <t>Square, Vagaro, Fresha, Booksy, GlossGenius, Acuity, Setmore, GoDaddy</t>
        </is>
      </c>
    </row>
    <row r="31">
      <c r="A31" s="21" t="inlineStr">
        <is>
          <t>Value processed (USD)</t>
        </is>
      </c>
      <c r="B31" s="24">
        <f>SUM(Locations!$AA$2:$AA$445)</f>
        <v/>
      </c>
      <c r="C31" s="21" t="inlineStr">
        <is>
          <t>POST-LAUNCH only (created &gt;= 30/01/26). All-time incl. pre-launch history is $646,104 — not product value.</t>
        </is>
      </c>
    </row>
    <row r="32">
      <c r="A32" s="12" t="inlineStr">
        <is>
          <t>Locations that processed a payment</t>
        </is>
      </c>
      <c r="B32" s="12">
        <f>SUMPRODUCT(--(Locations!$Z$2:$Z$445&gt;0))</f>
        <v/>
      </c>
      <c r="C32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7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2" customWidth="1" min="3" max="3"/>
    <col width="12" customWidth="1" min="4" max="4"/>
    <col width="11" customWidth="1" min="5" max="5"/>
    <col width="10" customWidth="1" min="6" max="6"/>
    <col width="9" customWidth="1" min="7" max="7"/>
    <col width="11" customWidth="1" min="8" max="8"/>
    <col width="12" customWidth="1" min="9" max="9"/>
    <col width="13" customWidth="1" min="10" max="10"/>
    <col width="12" customWidth="1" min="11" max="11"/>
    <col width="13" customWidth="1" min="12" max="12"/>
    <col width="21" customWidth="1" min="13" max="13"/>
    <col width="44" customWidth="1" min="14" max="14"/>
    <col width="15" customWidth="1" min="15" max="15"/>
  </cols>
  <sheetData>
    <row r="1">
      <c r="A1" s="1" t="inlineStr">
        <is>
          <t>Pitch register — every recorded pitch, Nov 2025 to Aug 2026</t>
        </is>
      </c>
    </row>
    <row r="2">
      <c r="A2" s="16" t="inlineStr">
        <is>
          <t>One row per account, dated by its FIRST recorded pitch. Conversion takes a median of 35 days, so recent months are still maturing — do not judge a pitch month before ~90 days.</t>
        </is>
      </c>
    </row>
    <row r="3"/>
    <row r="4" ht="17" customHeight="1">
      <c r="A4" s="51" t="inlineStr">
        <is>
          <t>Accounts PITCHED</t>
        </is>
      </c>
      <c r="B4" s="52" t="n">
        <v>148</v>
      </c>
      <c r="C4" s="53" t="inlineStr">
        <is>
          <t>Offer made on a recorded call; not already using scheduling</t>
        </is>
      </c>
    </row>
    <row r="5" ht="17" customHeight="1">
      <c r="A5" s="54" t="inlineStr">
        <is>
          <t>…onboarded after the pitch</t>
        </is>
      </c>
      <c r="B5" s="55" t="n">
        <v>31</v>
      </c>
      <c r="C5" s="56" t="inlineStr">
        <is>
          <t>Median 35 days later — 16 of 31 took over 30 days</t>
        </is>
      </c>
    </row>
    <row r="6" ht="17" customHeight="1">
      <c r="A6" s="54" t="inlineStr">
        <is>
          <t>…reached enabled</t>
        </is>
      </c>
      <c r="B6" s="55" t="n">
        <v>23</v>
      </c>
      <c r="C6" s="56" t="inlineStr">
        <is>
          <t>Scheduling switched on</t>
        </is>
      </c>
    </row>
    <row r="7" ht="17" customHeight="1">
      <c r="A7" s="51" t="inlineStr">
        <is>
          <t>…taking bookings</t>
        </is>
      </c>
      <c r="B7" s="52" t="n">
        <v>23</v>
      </c>
      <c r="C7" s="57" t="inlineStr">
        <is>
          <t>Actually receiving bookings — the real conversion</t>
        </is>
      </c>
    </row>
    <row r="8" ht="17" customHeight="1">
      <c r="A8" s="54" t="inlineStr">
        <is>
          <t>…live in last 30 days</t>
        </is>
      </c>
      <c r="B8" s="55" t="n">
        <v>22</v>
      </c>
      <c r="C8" s="56" t="inlineStr">
        <is>
          <t>Still receiving bookings now</t>
        </is>
      </c>
    </row>
    <row r="9" ht="17" customHeight="1">
      <c r="A9" s="51" t="inlineStr">
        <is>
          <t>NEVER onboarded</t>
        </is>
      </c>
      <c r="B9" s="52" t="n">
        <v>117</v>
      </c>
      <c r="C9" s="58" t="inlineStr">
        <is>
          <t>15 of these have since churned; none of the 15 ever converted</t>
        </is>
      </c>
    </row>
    <row r="10" ht="17" customHeight="1">
      <c r="A10" s="54" t="inlineStr">
        <is>
          <t>Excluded — already live when pitched</t>
        </is>
      </c>
      <c r="B10" s="55" t="n">
        <v>25</v>
      </c>
      <c r="C10" s="56" t="inlineStr">
        <is>
          <t>Offer language to an existing user = support, not a pitch</t>
        </is>
      </c>
    </row>
    <row r="11" ht="17" customHeight="1">
      <c r="A11" s="54" t="inlineStr">
        <is>
          <t>Bookings from converted accounts</t>
        </is>
      </c>
      <c r="B11" s="55" t="n">
        <v>1584</v>
      </c>
      <c r="C11" s="56" t="inlineStr">
        <is>
          <t>Total taken by the 31 that onboarded</t>
        </is>
      </c>
    </row>
    <row r="12" ht="17" customHeight="1">
      <c r="A12" s="54" t="inlineStr">
        <is>
          <t>…customer-made</t>
        </is>
      </c>
      <c r="B12" s="55" t="n">
        <v>407</v>
      </c>
      <c r="C12" s="56" t="inlineStr">
        <is>
          <t>Booked by the end customer, not staff</t>
        </is>
      </c>
    </row>
    <row r="13" ht="17" customHeight="1">
      <c r="A13" s="54" t="inlineStr">
        <is>
          <t>Payments post-launch, converted</t>
        </is>
      </c>
      <c r="B13" s="59" t="n">
        <v>194993.61</v>
      </c>
      <c r="C13" s="56" t="inlineStr">
        <is>
          <t>Processed by those accounts since 30/01/26</t>
        </is>
      </c>
    </row>
    <row r="14"/>
    <row r="15">
      <c r="A15" s="7" t="inlineStr">
        <is>
          <t>Business</t>
        </is>
      </c>
      <c r="B15" s="7" t="inlineStr">
        <is>
          <t>Contact</t>
        </is>
      </c>
      <c r="C15" s="7" t="inlineStr">
        <is>
          <t>Pitch month</t>
        </is>
      </c>
      <c r="D15" s="7" t="inlineStr">
        <is>
          <t>First pitched</t>
        </is>
      </c>
      <c r="E15" s="7" t="inlineStr">
        <is>
          <t>Onboarded</t>
        </is>
      </c>
      <c r="F15" s="7" t="inlineStr">
        <is>
          <t>Days pitch→onboard</t>
        </is>
      </c>
      <c r="G15" s="7" t="inlineStr">
        <is>
          <t>Enabled</t>
        </is>
      </c>
      <c r="H15" s="7" t="inlineStr">
        <is>
          <t>Payments set</t>
        </is>
      </c>
      <c r="I15" s="7" t="inlineStr">
        <is>
          <t>Earned bookings</t>
        </is>
      </c>
      <c r="J15" s="7" t="inlineStr">
        <is>
          <t>Customer-made</t>
        </is>
      </c>
      <c r="K15" s="7" t="inlineStr">
        <is>
          <t>Last booking</t>
        </is>
      </c>
      <c r="L15" s="7" t="inlineStr">
        <is>
          <t>Payments (USD)</t>
        </is>
      </c>
      <c r="M15" s="7" t="inlineStr">
        <is>
          <t>Outcome</t>
        </is>
      </c>
      <c r="N15" s="7" t="inlineStr">
        <is>
          <t>Pitch call</t>
        </is>
      </c>
      <c r="O15" s="50" t="inlineStr">
        <is>
          <t>Account still active</t>
        </is>
      </c>
    </row>
    <row r="16">
      <c r="A16" s="40" t="inlineStr">
        <is>
          <t>Deka Lash</t>
        </is>
      </c>
      <c r="B16" s="40" t="inlineStr">
        <is>
          <t>amaiti@dekalash.com</t>
        </is>
      </c>
      <c r="C16" s="40" t="inlineStr">
        <is>
          <t>2025-11</t>
        </is>
      </c>
      <c r="D16" s="41" t="n">
        <v>45989</v>
      </c>
      <c r="E16" s="41" t="n"/>
      <c r="F16" s="40" t="n"/>
      <c r="G16" s="40" t="b">
        <v>0</v>
      </c>
      <c r="H16" s="40" t="b">
        <v>0</v>
      </c>
      <c r="I16" s="40" t="n">
        <v>0</v>
      </c>
      <c r="J16" s="40" t="n">
        <v>0</v>
      </c>
      <c r="K16" s="41" t="n"/>
      <c r="L16" s="42" t="n">
        <v>0</v>
      </c>
      <c r="M16" s="40" t="inlineStr">
        <is>
          <t>Never onboarded</t>
        </is>
      </c>
      <c r="N16" s="43" t="inlineStr">
        <is>
          <t>Follow-up Call X Zoca</t>
        </is>
      </c>
      <c r="O16" s="2" t="b">
        <v>1</v>
      </c>
    </row>
    <row r="17">
      <c r="A17" s="40" t="inlineStr">
        <is>
          <t>All Aesthetics Kare</t>
        </is>
      </c>
      <c r="B17" s="40" t="inlineStr">
        <is>
          <t>info@allaestheticskare.com</t>
        </is>
      </c>
      <c r="C17" s="40" t="inlineStr">
        <is>
          <t>2025-11</t>
        </is>
      </c>
      <c r="D17" s="41" t="n">
        <v>45972</v>
      </c>
      <c r="E17" s="41" t="n"/>
      <c r="F17" s="40" t="n"/>
      <c r="G17" s="40" t="b">
        <v>0</v>
      </c>
      <c r="H17" s="40" t="b">
        <v>0</v>
      </c>
      <c r="I17" s="40" t="n">
        <v>0</v>
      </c>
      <c r="J17" s="40" t="n">
        <v>0</v>
      </c>
      <c r="K17" s="41" t="n"/>
      <c r="L17" s="42" t="n">
        <v>0</v>
      </c>
      <c r="M17" s="40" t="inlineStr">
        <is>
          <t>Never onboarded</t>
        </is>
      </c>
      <c r="N17" s="43" t="inlineStr">
        <is>
          <t>Yarira Preston and Shipra Shreya from ZOCA</t>
        </is>
      </c>
      <c r="O17" s="2" t="b">
        <v>1</v>
      </c>
    </row>
    <row r="18">
      <c r="A18" s="36" t="inlineStr">
        <is>
          <t>Headquarters Hair Care</t>
        </is>
      </c>
      <c r="B18" s="36" t="inlineStr">
        <is>
          <t>kdpitman40@hotmail.com</t>
        </is>
      </c>
      <c r="C18" s="36" t="inlineStr">
        <is>
          <t>2025-12</t>
        </is>
      </c>
      <c r="D18" s="37" t="n">
        <v>46022</v>
      </c>
      <c r="E18" s="37" t="n">
        <v>46204</v>
      </c>
      <c r="F18" s="36" t="n">
        <v>182</v>
      </c>
      <c r="G18" s="36" t="b">
        <v>0</v>
      </c>
      <c r="H18" s="36" t="b">
        <v>0</v>
      </c>
      <c r="I18" s="36" t="n">
        <v>149</v>
      </c>
      <c r="J18" s="36" t="n">
        <v>0</v>
      </c>
      <c r="K18" s="37" t="n">
        <v>46235</v>
      </c>
      <c r="L18" s="38" t="n">
        <v>0</v>
      </c>
      <c r="M18" s="36" t="inlineStr">
        <is>
          <t>Booking</t>
        </is>
      </c>
      <c r="N18" s="39" t="inlineStr">
        <is>
          <t>Headquarters Hair Care X Zoca | Check In Dece</t>
        </is>
      </c>
      <c r="O18" s="2" t="b">
        <v>1</v>
      </c>
    </row>
    <row r="19">
      <c r="A19" s="40" t="inlineStr">
        <is>
          <t>Niks Lash NYC</t>
        </is>
      </c>
      <c r="B19" s="40" t="inlineStr">
        <is>
          <t>bandanasewa9@gmail.com</t>
        </is>
      </c>
      <c r="C19" s="40" t="inlineStr">
        <is>
          <t>2025-12</t>
        </is>
      </c>
      <c r="D19" s="41" t="n">
        <v>45993</v>
      </c>
      <c r="E19" s="41" t="n"/>
      <c r="F19" s="40" t="n"/>
      <c r="G19" s="40" t="b">
        <v>0</v>
      </c>
      <c r="H19" s="40" t="b">
        <v>0</v>
      </c>
      <c r="I19" s="40" t="n">
        <v>0</v>
      </c>
      <c r="J19" s="40" t="n">
        <v>0</v>
      </c>
      <c r="K19" s="41" t="n"/>
      <c r="L19" s="42" t="n">
        <v>0</v>
      </c>
      <c r="M19" s="40" t="inlineStr">
        <is>
          <t>Never onboarded</t>
        </is>
      </c>
      <c r="N19" s="43" t="inlineStr">
        <is>
          <t>Bandana Sewa X Zoca | Check In December</t>
        </is>
      </c>
      <c r="O19" s="2" t="b">
        <v>1</v>
      </c>
    </row>
    <row r="20">
      <c r="A20" s="40" t="inlineStr">
        <is>
          <t>Urban Shave</t>
        </is>
      </c>
      <c r="B20" s="40" t="inlineStr">
        <is>
          <t>urbanshavellc@gmail.com</t>
        </is>
      </c>
      <c r="C20" s="40" t="inlineStr">
        <is>
          <t>2025-12</t>
        </is>
      </c>
      <c r="D20" s="41" t="n">
        <v>46000</v>
      </c>
      <c r="E20" s="41" t="n"/>
      <c r="F20" s="40" t="n"/>
      <c r="G20" s="40" t="b">
        <v>0</v>
      </c>
      <c r="H20" s="40" t="b">
        <v>0</v>
      </c>
      <c r="I20" s="40" t="n">
        <v>0</v>
      </c>
      <c r="J20" s="40" t="n">
        <v>0</v>
      </c>
      <c r="K20" s="41" t="n"/>
      <c r="L20" s="42" t="n">
        <v>0</v>
      </c>
      <c r="M20" s="40" t="inlineStr">
        <is>
          <t>Never onboarded</t>
        </is>
      </c>
      <c r="N20" s="43" t="inlineStr">
        <is>
          <t>Urban Shave X Zoca | Check In December</t>
        </is>
      </c>
      <c r="O20" s="2" t="b">
        <v>1</v>
      </c>
    </row>
    <row r="21">
      <c r="A21" s="40" t="inlineStr">
        <is>
          <t>Sumathy Reddy, M.D.</t>
        </is>
      </c>
      <c r="B21" s="40" t="inlineStr">
        <is>
          <t>sumathyreddy@mail.com</t>
        </is>
      </c>
      <c r="C21" s="40" t="inlineStr">
        <is>
          <t>2025-12</t>
        </is>
      </c>
      <c r="D21" s="41" t="n">
        <v>46001</v>
      </c>
      <c r="E21" s="41" t="n"/>
      <c r="F21" s="40" t="n"/>
      <c r="G21" s="40" t="b">
        <v>0</v>
      </c>
      <c r="H21" s="40" t="b">
        <v>0</v>
      </c>
      <c r="I21" s="40" t="n">
        <v>0</v>
      </c>
      <c r="J21" s="40" t="n">
        <v>0</v>
      </c>
      <c r="K21" s="41" t="n"/>
      <c r="L21" s="42" t="n">
        <v>0</v>
      </c>
      <c r="M21" s="40" t="inlineStr">
        <is>
          <t>Never onboarded</t>
        </is>
      </c>
      <c r="N21" s="43" t="inlineStr">
        <is>
          <t>Zoca Check-in | Sumathy Reddy, M.D.</t>
        </is>
      </c>
      <c r="O21" s="2" t="b">
        <v>0</v>
      </c>
    </row>
    <row r="22">
      <c r="A22" s="40" t="inlineStr">
        <is>
          <t>Hydra-Bar Salon</t>
        </is>
      </c>
      <c r="B22" s="40" t="inlineStr">
        <is>
          <t>info@hydrabarsalon.com</t>
        </is>
      </c>
      <c r="C22" s="40" t="inlineStr">
        <is>
          <t>2025-12</t>
        </is>
      </c>
      <c r="D22" s="41" t="n">
        <v>45994</v>
      </c>
      <c r="E22" s="41" t="n"/>
      <c r="F22" s="40" t="n"/>
      <c r="G22" s="40" t="b">
        <v>0</v>
      </c>
      <c r="H22" s="40" t="b">
        <v>0</v>
      </c>
      <c r="I22" s="40" t="n">
        <v>0</v>
      </c>
      <c r="J22" s="40" t="n">
        <v>0</v>
      </c>
      <c r="K22" s="41" t="n"/>
      <c r="L22" s="42" t="n">
        <v>0</v>
      </c>
      <c r="M22" s="40" t="inlineStr">
        <is>
          <t>Never onboarded</t>
        </is>
      </c>
      <c r="N22" s="43" t="inlineStr">
        <is>
          <t>Hydra Bar X Zoca | Check In December</t>
        </is>
      </c>
      <c r="O22" s="2" t="b">
        <v>1</v>
      </c>
    </row>
    <row r="23">
      <c r="A23" s="40" t="inlineStr">
        <is>
          <t>Elva Medical Aesthetics</t>
        </is>
      </c>
      <c r="B23" s="40" t="inlineStr">
        <is>
          <t>elvabeautyy@gmail.com</t>
        </is>
      </c>
      <c r="C23" s="40" t="inlineStr">
        <is>
          <t>2025-12</t>
        </is>
      </c>
      <c r="D23" s="41" t="n">
        <v>45993</v>
      </c>
      <c r="E23" s="41" t="n"/>
      <c r="F23" s="40" t="n"/>
      <c r="G23" s="40" t="b">
        <v>0</v>
      </c>
      <c r="H23" s="40" t="b">
        <v>0</v>
      </c>
      <c r="I23" s="40" t="n">
        <v>0</v>
      </c>
      <c r="J23" s="40" t="n">
        <v>0</v>
      </c>
      <c r="K23" s="41" t="n"/>
      <c r="L23" s="42" t="n">
        <v>0</v>
      </c>
      <c r="M23" s="40" t="inlineStr">
        <is>
          <t>Never onboarded</t>
        </is>
      </c>
      <c r="N23" s="43" t="inlineStr">
        <is>
          <t>Elva Beauty Inc. X Zoca | Check In December</t>
        </is>
      </c>
      <c r="O23" s="2" t="b">
        <v>1</v>
      </c>
    </row>
    <row r="24">
      <c r="A24" s="40" t="inlineStr">
        <is>
          <t>Les Ciseaux Salon and Spa</t>
        </is>
      </c>
      <c r="B24" s="40" t="inlineStr">
        <is>
          <t>lesciseaux@gmail.com</t>
        </is>
      </c>
      <c r="C24" s="40" t="inlineStr">
        <is>
          <t>2025-12</t>
        </is>
      </c>
      <c r="D24" s="41" t="n">
        <v>45994</v>
      </c>
      <c r="E24" s="41" t="n"/>
      <c r="F24" s="40" t="n"/>
      <c r="G24" s="40" t="b">
        <v>0</v>
      </c>
      <c r="H24" s="40" t="b">
        <v>0</v>
      </c>
      <c r="I24" s="40" t="n">
        <v>0</v>
      </c>
      <c r="J24" s="40" t="n">
        <v>0</v>
      </c>
      <c r="K24" s="41" t="n"/>
      <c r="L24" s="42" t="n">
        <v>0</v>
      </c>
      <c r="M24" s="40" t="inlineStr">
        <is>
          <t>Never onboarded</t>
        </is>
      </c>
      <c r="N24" s="43" t="inlineStr">
        <is>
          <t>Les Ciseaux Salon &amp; Spa X Zoca | Check In Nov</t>
        </is>
      </c>
      <c r="O24" s="2" t="b">
        <v>1</v>
      </c>
    </row>
    <row r="25">
      <c r="A25" s="40" t="inlineStr">
        <is>
          <t>Beverly Dentistry</t>
        </is>
      </c>
      <c r="B25" s="40" t="inlineStr">
        <is>
          <t>beverlydental1@gmail.com</t>
        </is>
      </c>
      <c r="C25" s="40" t="inlineStr">
        <is>
          <t>2025-12</t>
        </is>
      </c>
      <c r="D25" s="41" t="n">
        <v>46010</v>
      </c>
      <c r="E25" s="41" t="n"/>
      <c r="F25" s="40" t="n"/>
      <c r="G25" s="40" t="b">
        <v>0</v>
      </c>
      <c r="H25" s="40" t="b">
        <v>0</v>
      </c>
      <c r="I25" s="40" t="n">
        <v>0</v>
      </c>
      <c r="J25" s="40" t="n">
        <v>0</v>
      </c>
      <c r="K25" s="41" t="n"/>
      <c r="L25" s="42" t="n">
        <v>0</v>
      </c>
      <c r="M25" s="40" t="inlineStr">
        <is>
          <t>Never onboarded</t>
        </is>
      </c>
      <c r="N25" s="43" t="inlineStr">
        <is>
          <t>Beverly Gonzales and Bikash Chandra</t>
        </is>
      </c>
      <c r="O25" s="2" t="b">
        <v>1</v>
      </c>
    </row>
    <row r="26">
      <c r="A26" s="40" t="inlineStr">
        <is>
          <t>VPRO Beauty Salon &amp; Spa</t>
        </is>
      </c>
      <c r="B26" s="40" t="inlineStr">
        <is>
          <t>vprospa@gmail.com</t>
        </is>
      </c>
      <c r="C26" s="40" t="inlineStr">
        <is>
          <t>2025-12</t>
        </is>
      </c>
      <c r="D26" s="41" t="n">
        <v>46017</v>
      </c>
      <c r="E26" s="41" t="n"/>
      <c r="F26" s="40" t="n"/>
      <c r="G26" s="40" t="b">
        <v>0</v>
      </c>
      <c r="H26" s="40" t="b">
        <v>0</v>
      </c>
      <c r="I26" s="40" t="n">
        <v>0</v>
      </c>
      <c r="J26" s="40" t="n">
        <v>0</v>
      </c>
      <c r="K26" s="41" t="n"/>
      <c r="L26" s="42" t="n">
        <v>0</v>
      </c>
      <c r="M26" s="40" t="inlineStr">
        <is>
          <t>Never onboarded</t>
        </is>
      </c>
      <c r="N26" s="43" t="inlineStr">
        <is>
          <t>VPRO Beauty Salon &amp; Spa X Zoca | Check In Dec</t>
        </is>
      </c>
      <c r="O26" s="2" t="b">
        <v>1</v>
      </c>
    </row>
    <row r="27">
      <c r="A27" s="40" t="inlineStr">
        <is>
          <t>Mad Men Groom-In Room</t>
        </is>
      </c>
      <c r="B27" s="40" t="inlineStr">
        <is>
          <t>alvis.hamilton72@yahoo.com</t>
        </is>
      </c>
      <c r="C27" s="40" t="inlineStr">
        <is>
          <t>2025-12</t>
        </is>
      </c>
      <c r="D27" s="41" t="n">
        <v>46002</v>
      </c>
      <c r="E27" s="41" t="n"/>
      <c r="F27" s="40" t="n"/>
      <c r="G27" s="40" t="b">
        <v>0</v>
      </c>
      <c r="H27" s="40" t="b">
        <v>0</v>
      </c>
      <c r="I27" s="40" t="n">
        <v>0</v>
      </c>
      <c r="J27" s="40" t="n">
        <v>0</v>
      </c>
      <c r="K27" s="41" t="n"/>
      <c r="L27" s="42" t="n">
        <v>0</v>
      </c>
      <c r="M27" s="40" t="inlineStr">
        <is>
          <t>Never onboarded</t>
        </is>
      </c>
      <c r="N27" s="43" t="inlineStr">
        <is>
          <t>Alvis and Kanak Sharma</t>
        </is>
      </c>
      <c r="O27" s="2" t="b">
        <v>1</v>
      </c>
    </row>
    <row r="28">
      <c r="A28" s="36" t="inlineStr">
        <is>
          <t>Donna Skin and Body Care</t>
        </is>
      </c>
      <c r="B28" s="36" t="inlineStr">
        <is>
          <t>donna.skin@gmail.com</t>
        </is>
      </c>
      <c r="C28" s="36" t="inlineStr">
        <is>
          <t>2026-01</t>
        </is>
      </c>
      <c r="D28" s="37" t="n">
        <v>46034</v>
      </c>
      <c r="E28" s="37" t="n">
        <v>46169</v>
      </c>
      <c r="F28" s="36" t="n">
        <v>135</v>
      </c>
      <c r="G28" s="36" t="b">
        <v>1</v>
      </c>
      <c r="H28" s="36" t="b">
        <v>1</v>
      </c>
      <c r="I28" s="36" t="n">
        <v>105</v>
      </c>
      <c r="J28" s="36" t="n">
        <v>6</v>
      </c>
      <c r="K28" s="37" t="n">
        <v>46237</v>
      </c>
      <c r="L28" s="38" t="n">
        <v>0</v>
      </c>
      <c r="M28" s="36" t="inlineStr">
        <is>
          <t>Booking</t>
        </is>
      </c>
      <c r="N28" s="39" t="inlineStr">
        <is>
          <t>Donna Skin and Body Care X Zoca | Check In Ja</t>
        </is>
      </c>
      <c r="O28" s="2" t="b">
        <v>1</v>
      </c>
    </row>
    <row r="29">
      <c r="A29" s="36" t="inlineStr">
        <is>
          <t>Adel braids</t>
        </is>
      </c>
      <c r="B29" s="36" t="inlineStr">
        <is>
          <t>adelbih76@gmail.com</t>
        </is>
      </c>
      <c r="C29" s="36" t="inlineStr">
        <is>
          <t>2026-01</t>
        </is>
      </c>
      <c r="D29" s="37" t="n">
        <v>46049</v>
      </c>
      <c r="E29" s="37" t="n">
        <v>46066</v>
      </c>
      <c r="F29" s="36" t="n">
        <v>17</v>
      </c>
      <c r="G29" s="36" t="b">
        <v>1</v>
      </c>
      <c r="H29" s="36" t="b">
        <v>1</v>
      </c>
      <c r="I29" s="36" t="n">
        <v>19</v>
      </c>
      <c r="J29" s="36" t="n">
        <v>17</v>
      </c>
      <c r="K29" s="37" t="n">
        <v>46220</v>
      </c>
      <c r="L29" s="38" t="n">
        <v>396</v>
      </c>
      <c r="M29" s="36" t="inlineStr">
        <is>
          <t>Booking</t>
        </is>
      </c>
      <c r="N29" s="39" t="inlineStr">
        <is>
          <t>Zoca X Adel Braids</t>
        </is>
      </c>
      <c r="O29" s="2" t="b">
        <v>1</v>
      </c>
    </row>
    <row r="30">
      <c r="A30" s="36" t="inlineStr">
        <is>
          <t>Michael's Salon</t>
        </is>
      </c>
      <c r="B30" s="36" t="inlineStr">
        <is>
          <t>baturov11@gmail.com</t>
        </is>
      </c>
      <c r="C30" s="36" t="inlineStr">
        <is>
          <t>2026-01</t>
        </is>
      </c>
      <c r="D30" s="37" t="n">
        <v>46042</v>
      </c>
      <c r="E30" s="37" t="n">
        <v>46223</v>
      </c>
      <c r="F30" s="36" t="n">
        <v>181</v>
      </c>
      <c r="G30" s="36" t="b">
        <v>1</v>
      </c>
      <c r="H30" s="36" t="b">
        <v>0</v>
      </c>
      <c r="I30" s="36" t="n">
        <v>1</v>
      </c>
      <c r="J30" s="36" t="n">
        <v>1</v>
      </c>
      <c r="K30" s="37" t="n">
        <v>46235</v>
      </c>
      <c r="L30" s="38" t="n">
        <v>0</v>
      </c>
      <c r="M30" s="36" t="inlineStr">
        <is>
          <t>Booking</t>
        </is>
      </c>
      <c r="N30" s="39" t="inlineStr">
        <is>
          <t>Irina Khaimova and Hubern</t>
        </is>
      </c>
      <c r="O30" s="2" t="b">
        <v>1</v>
      </c>
    </row>
    <row r="31">
      <c r="A31" s="12" t="inlineStr">
        <is>
          <t>BB Meme Salon Hillcrest</t>
        </is>
      </c>
      <c r="B31" s="12" t="inlineStr">
        <is>
          <t>bbmemesalon@gmail.com</t>
        </is>
      </c>
      <c r="C31" s="12" t="inlineStr">
        <is>
          <t>2026-01</t>
        </is>
      </c>
      <c r="D31" s="29" t="n">
        <v>46034</v>
      </c>
      <c r="E31" s="29" t="n">
        <v>46224</v>
      </c>
      <c r="F31" s="12" t="n">
        <v>190</v>
      </c>
      <c r="G31" s="12" t="b">
        <v>1</v>
      </c>
      <c r="H31" s="12" t="b">
        <v>0</v>
      </c>
      <c r="I31" s="12" t="n">
        <v>0</v>
      </c>
      <c r="J31" s="12" t="n">
        <v>0</v>
      </c>
      <c r="K31" s="29" t="n"/>
      <c r="L31" s="30" t="n">
        <v>0</v>
      </c>
      <c r="M31" s="12" t="inlineStr">
        <is>
          <t>Enabled, no bookings</t>
        </is>
      </c>
      <c r="N31" s="14" t="inlineStr">
        <is>
          <t>bbmeme and Shikha</t>
        </is>
      </c>
      <c r="O31" s="2" t="b">
        <v>1</v>
      </c>
    </row>
    <row r="32">
      <c r="A32" s="40" t="inlineStr">
        <is>
          <t>Sugar Me Waxing Studio</t>
        </is>
      </c>
      <c r="B32" s="40" t="inlineStr">
        <is>
          <t>smwstudio@gmail.com</t>
        </is>
      </c>
      <c r="C32" s="40" t="inlineStr">
        <is>
          <t>2026-01</t>
        </is>
      </c>
      <c r="D32" s="41" t="n">
        <v>46037</v>
      </c>
      <c r="E32" s="41" t="n"/>
      <c r="F32" s="40" t="n"/>
      <c r="G32" s="40" t="b">
        <v>0</v>
      </c>
      <c r="H32" s="40" t="b">
        <v>0</v>
      </c>
      <c r="I32" s="40" t="n">
        <v>0</v>
      </c>
      <c r="J32" s="40" t="n">
        <v>0</v>
      </c>
      <c r="K32" s="41" t="n"/>
      <c r="L32" s="42" t="n">
        <v>0</v>
      </c>
      <c r="M32" s="40" t="inlineStr">
        <is>
          <t>Never onboarded</t>
        </is>
      </c>
      <c r="N32" s="43" t="inlineStr">
        <is>
          <t>Sugar Me Waxing Studio X Zoca | Check In Janu</t>
        </is>
      </c>
      <c r="O32" s="2" t="b">
        <v>1</v>
      </c>
    </row>
    <row r="33">
      <c r="A33" s="40" t="inlineStr">
        <is>
          <t>IM=X Pilates and Fitness Mansfield</t>
        </is>
      </c>
      <c r="B33" s="40" t="inlineStr">
        <is>
          <t>michelle@imxpilates.com</t>
        </is>
      </c>
      <c r="C33" s="40" t="inlineStr">
        <is>
          <t>2026-01</t>
        </is>
      </c>
      <c r="D33" s="41" t="n">
        <v>46052</v>
      </c>
      <c r="E33" s="41" t="n"/>
      <c r="F33" s="40" t="n"/>
      <c r="G33" s="40" t="b">
        <v>0</v>
      </c>
      <c r="H33" s="40" t="b">
        <v>0</v>
      </c>
      <c r="I33" s="40" t="n">
        <v>0</v>
      </c>
      <c r="J33" s="40" t="n">
        <v>0</v>
      </c>
      <c r="K33" s="41" t="n"/>
      <c r="L33" s="42" t="n">
        <v>0</v>
      </c>
      <c r="M33" s="40" t="inlineStr">
        <is>
          <t>Never onboarded</t>
        </is>
      </c>
      <c r="N33" s="43" t="inlineStr">
        <is>
          <t>IM=X Pilates and Fitness Mansfield X Zoca | C</t>
        </is>
      </c>
      <c r="O33" s="2" t="b">
        <v>1</v>
      </c>
    </row>
    <row r="34">
      <c r="A34" s="40" t="inlineStr">
        <is>
          <t>Rosy Tips Nail Salon Chula Vista CA</t>
        </is>
      </c>
      <c r="B34" s="40" t="inlineStr">
        <is>
          <t>rosytipsnailsnspa@gmail.com</t>
        </is>
      </c>
      <c r="C34" s="40" t="inlineStr">
        <is>
          <t>2026-01</t>
        </is>
      </c>
      <c r="D34" s="41" t="n">
        <v>46042</v>
      </c>
      <c r="E34" s="41" t="n"/>
      <c r="F34" s="40" t="n"/>
      <c r="G34" s="40" t="b">
        <v>0</v>
      </c>
      <c r="H34" s="40" t="b">
        <v>0</v>
      </c>
      <c r="I34" s="40" t="n">
        <v>0</v>
      </c>
      <c r="J34" s="40" t="n">
        <v>0</v>
      </c>
      <c r="K34" s="41" t="n"/>
      <c r="L34" s="42" t="n">
        <v>0</v>
      </c>
      <c r="M34" s="40" t="inlineStr">
        <is>
          <t>Never onboarded</t>
        </is>
      </c>
      <c r="N34" s="43" t="inlineStr">
        <is>
          <t>Linh Nguyen and Shikha</t>
        </is>
      </c>
      <c r="O34" s="2" t="b">
        <v>1</v>
      </c>
    </row>
    <row r="35">
      <c r="A35" s="40" t="inlineStr">
        <is>
          <t>Lashes &amp; Body on Fleek LLC</t>
        </is>
      </c>
      <c r="B35" s="40" t="inlineStr">
        <is>
          <t>lashesonfleekllc@gmail.com</t>
        </is>
      </c>
      <c r="C35" s="40" t="inlineStr">
        <is>
          <t>2026-01</t>
        </is>
      </c>
      <c r="D35" s="41" t="n">
        <v>46031</v>
      </c>
      <c r="E35" s="41" t="n"/>
      <c r="F35" s="40" t="n"/>
      <c r="G35" s="40" t="b">
        <v>0</v>
      </c>
      <c r="H35" s="40" t="b">
        <v>0</v>
      </c>
      <c r="I35" s="40" t="n">
        <v>0</v>
      </c>
      <c r="J35" s="40" t="n">
        <v>0</v>
      </c>
      <c r="K35" s="41" t="n"/>
      <c r="L35" s="42" t="n">
        <v>0</v>
      </c>
      <c r="M35" s="40" t="inlineStr">
        <is>
          <t>Never onboarded</t>
        </is>
      </c>
      <c r="N35" s="43" t="inlineStr">
        <is>
          <t>Founder Connect |Lashes &amp; Body on Fleek LLC</t>
        </is>
      </c>
      <c r="O35" s="2" t="b">
        <v>1</v>
      </c>
    </row>
    <row r="36">
      <c r="A36" s="40" t="inlineStr">
        <is>
          <t>The Wow Studio</t>
        </is>
      </c>
      <c r="B36" s="40" t="inlineStr">
        <is>
          <t>info@thewowstudio.net</t>
        </is>
      </c>
      <c r="C36" s="40" t="inlineStr">
        <is>
          <t>2026-01</t>
        </is>
      </c>
      <c r="D36" s="41" t="n">
        <v>46048</v>
      </c>
      <c r="E36" s="41" t="n"/>
      <c r="F36" s="40" t="n"/>
      <c r="G36" s="40" t="b">
        <v>0</v>
      </c>
      <c r="H36" s="40" t="b">
        <v>0</v>
      </c>
      <c r="I36" s="40" t="n">
        <v>0</v>
      </c>
      <c r="J36" s="40" t="n">
        <v>0</v>
      </c>
      <c r="K36" s="41" t="n"/>
      <c r="L36" s="42" t="n">
        <v>0</v>
      </c>
      <c r="M36" s="40" t="inlineStr">
        <is>
          <t>Never onboarded</t>
        </is>
      </c>
      <c r="N36" s="43" t="inlineStr">
        <is>
          <t>The WOW Studio X ZOCA | Check-in Call</t>
        </is>
      </c>
      <c r="O36" s="2" t="b">
        <v>1</v>
      </c>
    </row>
    <row r="37">
      <c r="A37" s="40" t="inlineStr">
        <is>
          <t>InVein Aesthetics</t>
        </is>
      </c>
      <c r="B37" s="40" t="inlineStr">
        <is>
          <t>shawnta@inveinspa.com</t>
        </is>
      </c>
      <c r="C37" s="40" t="inlineStr">
        <is>
          <t>2026-01</t>
        </is>
      </c>
      <c r="D37" s="41" t="n">
        <v>46030</v>
      </c>
      <c r="E37" s="41" t="n"/>
      <c r="F37" s="40" t="n"/>
      <c r="G37" s="40" t="b">
        <v>0</v>
      </c>
      <c r="H37" s="40" t="b">
        <v>0</v>
      </c>
      <c r="I37" s="40" t="n">
        <v>0</v>
      </c>
      <c r="J37" s="40" t="n">
        <v>0</v>
      </c>
      <c r="K37" s="41" t="n"/>
      <c r="L37" s="42" t="n">
        <v>0</v>
      </c>
      <c r="M37" s="40" t="inlineStr">
        <is>
          <t>Never onboarded</t>
        </is>
      </c>
      <c r="N37" s="43" t="inlineStr">
        <is>
          <t>Shawnta &lt;&gt; Check - in</t>
        </is>
      </c>
      <c r="O37" s="2" t="b">
        <v>1</v>
      </c>
    </row>
    <row r="38">
      <c r="A38" s="40" t="inlineStr">
        <is>
          <t>Bella Luna - Lash and Brow Boutique</t>
        </is>
      </c>
      <c r="B38" s="40" t="inlineStr">
        <is>
          <t>threadingbylinet@yahoo.com</t>
        </is>
      </c>
      <c r="C38" s="40" t="inlineStr">
        <is>
          <t>2026-01</t>
        </is>
      </c>
      <c r="D38" s="41" t="n">
        <v>46041</v>
      </c>
      <c r="E38" s="41" t="n"/>
      <c r="F38" s="40" t="n"/>
      <c r="G38" s="40" t="b">
        <v>0</v>
      </c>
      <c r="H38" s="40" t="b">
        <v>0</v>
      </c>
      <c r="I38" s="40" t="n">
        <v>0</v>
      </c>
      <c r="J38" s="40" t="n">
        <v>0</v>
      </c>
      <c r="K38" s="41" t="n"/>
      <c r="L38" s="42" t="n">
        <v>0</v>
      </c>
      <c r="M38" s="40" t="inlineStr">
        <is>
          <t>Never onboarded</t>
        </is>
      </c>
      <c r="N38" s="43" t="inlineStr">
        <is>
          <t>Linet Haratunian and Shikha</t>
        </is>
      </c>
      <c r="O38" s="2" t="b">
        <v>1</v>
      </c>
    </row>
    <row r="39">
      <c r="A39" s="40" t="inlineStr">
        <is>
          <t>Lash and Skin Studio</t>
        </is>
      </c>
      <c r="B39" s="40" t="inlineStr">
        <is>
          <t>erica.business14@gmail.com</t>
        </is>
      </c>
      <c r="C39" s="40" t="inlineStr">
        <is>
          <t>2026-01</t>
        </is>
      </c>
      <c r="D39" s="41" t="n">
        <v>46042</v>
      </c>
      <c r="E39" s="41" t="n"/>
      <c r="F39" s="40" t="n"/>
      <c r="G39" s="40" t="b">
        <v>0</v>
      </c>
      <c r="H39" s="40" t="b">
        <v>0</v>
      </c>
      <c r="I39" s="40" t="n">
        <v>0</v>
      </c>
      <c r="J39" s="40" t="n">
        <v>0</v>
      </c>
      <c r="K39" s="41" t="n"/>
      <c r="L39" s="42" t="n">
        <v>0</v>
      </c>
      <c r="M39" s="40" t="inlineStr">
        <is>
          <t>Never onboarded</t>
        </is>
      </c>
      <c r="N39" s="43" t="inlineStr">
        <is>
          <t xml:space="preserve">Check in Call X Lash and skin studio </t>
        </is>
      </c>
      <c r="O39" s="2" t="b">
        <v>1</v>
      </c>
    </row>
    <row r="40">
      <c r="A40" s="40" t="inlineStr">
        <is>
          <t>ConcreteWood Studio</t>
        </is>
      </c>
      <c r="B40" s="40" t="inlineStr">
        <is>
          <t>junjie.du1010@gmail.com</t>
        </is>
      </c>
      <c r="C40" s="40" t="inlineStr">
        <is>
          <t>2026-01</t>
        </is>
      </c>
      <c r="D40" s="41" t="n">
        <v>46052</v>
      </c>
      <c r="E40" s="41" t="n"/>
      <c r="F40" s="40" t="n"/>
      <c r="G40" s="40" t="b">
        <v>0</v>
      </c>
      <c r="H40" s="40" t="b">
        <v>0</v>
      </c>
      <c r="I40" s="40" t="n">
        <v>0</v>
      </c>
      <c r="J40" s="40" t="n">
        <v>0</v>
      </c>
      <c r="K40" s="41" t="n"/>
      <c r="L40" s="42" t="n">
        <v>0</v>
      </c>
      <c r="M40" s="40" t="inlineStr">
        <is>
          <t>Never onboarded</t>
        </is>
      </c>
      <c r="N40" s="43" t="inlineStr">
        <is>
          <t>Jun jie du  and Atharv Yadav</t>
        </is>
      </c>
      <c r="O40" s="2" t="b">
        <v>0</v>
      </c>
    </row>
    <row r="41">
      <c r="A41" s="40" t="inlineStr">
        <is>
          <t>Lash Wonderland | Eyelash | Facial | Brow | Lash Lift</t>
        </is>
      </c>
      <c r="B41" s="40" t="inlineStr">
        <is>
          <t>lashwonderlandnyc@gmail.com</t>
        </is>
      </c>
      <c r="C41" s="40" t="inlineStr">
        <is>
          <t>2026-01</t>
        </is>
      </c>
      <c r="D41" s="41" t="n">
        <v>46042</v>
      </c>
      <c r="E41" s="41" t="n"/>
      <c r="F41" s="40" t="n"/>
      <c r="G41" s="40" t="b">
        <v>0</v>
      </c>
      <c r="H41" s="40" t="b">
        <v>0</v>
      </c>
      <c r="I41" s="40" t="n">
        <v>0</v>
      </c>
      <c r="J41" s="40" t="n">
        <v>0</v>
      </c>
      <c r="K41" s="41" t="n"/>
      <c r="L41" s="42" t="n">
        <v>0</v>
      </c>
      <c r="M41" s="40" t="inlineStr">
        <is>
          <t>Never onboarded</t>
        </is>
      </c>
      <c r="N41" s="43" t="inlineStr">
        <is>
          <t>sophie and Shikha</t>
        </is>
      </c>
      <c r="O41" s="2" t="b">
        <v>0</v>
      </c>
    </row>
    <row r="42">
      <c r="A42" s="36" t="inlineStr">
        <is>
          <t>Emporio African Braids</t>
        </is>
      </c>
      <c r="B42" s="36" t="inlineStr">
        <is>
          <t>ayanniyitemitope10@gmail.com</t>
        </is>
      </c>
      <c r="C42" s="36" t="inlineStr">
        <is>
          <t>2026-02</t>
        </is>
      </c>
      <c r="D42" s="37" t="n">
        <v>46063</v>
      </c>
      <c r="E42" s="37" t="n">
        <v>46065</v>
      </c>
      <c r="F42" s="36" t="n">
        <v>2</v>
      </c>
      <c r="G42" s="36" t="b">
        <v>1</v>
      </c>
      <c r="H42" s="36" t="b">
        <v>1</v>
      </c>
      <c r="I42" s="36" t="n">
        <v>67</v>
      </c>
      <c r="J42" s="36" t="n">
        <v>57</v>
      </c>
      <c r="K42" s="37" t="n">
        <v>46237</v>
      </c>
      <c r="L42" s="38" t="n">
        <v>1803.6</v>
      </c>
      <c r="M42" s="36" t="inlineStr">
        <is>
          <t>Booking</t>
        </is>
      </c>
      <c r="N42" s="39" t="inlineStr">
        <is>
          <t>Temmy &lt;&gt; Check - in</t>
        </is>
      </c>
      <c r="O42" s="2" t="b">
        <v>1</v>
      </c>
    </row>
    <row r="43">
      <c r="A43" s="36" t="inlineStr">
        <is>
          <t>Miracle hands braiding Studio</t>
        </is>
      </c>
      <c r="B43" s="36" t="inlineStr">
        <is>
          <t>andrianaowu47@gmail.com</t>
        </is>
      </c>
      <c r="C43" s="36" t="inlineStr">
        <is>
          <t>2026-02</t>
        </is>
      </c>
      <c r="D43" s="37" t="n">
        <v>46059</v>
      </c>
      <c r="E43" s="37" t="n">
        <v>46077</v>
      </c>
      <c r="F43" s="36" t="n">
        <v>18</v>
      </c>
      <c r="G43" s="36" t="b">
        <v>1</v>
      </c>
      <c r="H43" s="36" t="b">
        <v>0</v>
      </c>
      <c r="I43" s="36" t="n">
        <v>52</v>
      </c>
      <c r="J43" s="36" t="n">
        <v>33</v>
      </c>
      <c r="K43" s="37" t="n">
        <v>46237</v>
      </c>
      <c r="L43" s="38" t="n">
        <v>0</v>
      </c>
      <c r="M43" s="36" t="inlineStr">
        <is>
          <t>Booking</t>
        </is>
      </c>
      <c r="N43" s="39" t="inlineStr">
        <is>
          <t>User Research &lt;&gt; Zoca</t>
        </is>
      </c>
      <c r="O43" s="2" t="b">
        <v>1</v>
      </c>
    </row>
    <row r="44">
      <c r="A44" s="36" t="inlineStr">
        <is>
          <t>RCs Waxing &amp; Threading Stockbridge</t>
        </is>
      </c>
      <c r="B44" s="36" t="inlineStr">
        <is>
          <t>biznessoffersga@gmail.com</t>
        </is>
      </c>
      <c r="C44" s="36" t="inlineStr">
        <is>
          <t>2026-02</t>
        </is>
      </c>
      <c r="D44" s="37" t="n">
        <v>46072</v>
      </c>
      <c r="E44" s="37" t="n">
        <v>46197</v>
      </c>
      <c r="F44" s="36" t="n">
        <v>125</v>
      </c>
      <c r="G44" s="36" t="b">
        <v>1</v>
      </c>
      <c r="H44" s="36" t="b">
        <v>0</v>
      </c>
      <c r="I44" s="36" t="n">
        <v>25</v>
      </c>
      <c r="J44" s="36" t="n">
        <v>25</v>
      </c>
      <c r="K44" s="37" t="n">
        <v>46237</v>
      </c>
      <c r="L44" s="38" t="n">
        <v>85</v>
      </c>
      <c r="M44" s="36" t="inlineStr">
        <is>
          <t>Booking</t>
        </is>
      </c>
      <c r="N44" s="39" t="inlineStr">
        <is>
          <t>Riyaz &lt;&gt; Zoca</t>
        </is>
      </c>
      <c r="O44" s="2" t="b">
        <v>1</v>
      </c>
    </row>
    <row r="45">
      <c r="A45" s="36" t="inlineStr">
        <is>
          <t>Bodies-N-Motion LLC</t>
        </is>
      </c>
      <c r="B45" s="36" t="inlineStr">
        <is>
          <t>bodies.n.motionllc@gmail.com</t>
        </is>
      </c>
      <c r="C45" s="36" t="inlineStr">
        <is>
          <t>2026-02</t>
        </is>
      </c>
      <c r="D45" s="37" t="n">
        <v>46065</v>
      </c>
      <c r="E45" s="37" t="n">
        <v>46182</v>
      </c>
      <c r="F45" s="36" t="n">
        <v>117</v>
      </c>
      <c r="G45" s="36" t="b">
        <v>1</v>
      </c>
      <c r="H45" s="36" t="b">
        <v>1</v>
      </c>
      <c r="I45" s="36" t="n">
        <v>2</v>
      </c>
      <c r="J45" s="36" t="n">
        <v>2</v>
      </c>
      <c r="K45" s="37" t="n">
        <v>46185</v>
      </c>
      <c r="L45" s="38" t="n">
        <v>210</v>
      </c>
      <c r="M45" s="36" t="inlineStr">
        <is>
          <t>Booking</t>
        </is>
      </c>
      <c r="N45" s="39" t="inlineStr">
        <is>
          <t>bodies n motion llc</t>
        </is>
      </c>
      <c r="O45" s="2" t="b">
        <v>1</v>
      </c>
    </row>
    <row r="46">
      <c r="A46" s="36" t="inlineStr">
        <is>
          <t>Connected Health Plano</t>
        </is>
      </c>
      <c r="B46" s="36" t="inlineStr">
        <is>
          <t>plano@connectedhealthcenter.com</t>
        </is>
      </c>
      <c r="C46" s="36" t="inlineStr">
        <is>
          <t>2026-02</t>
        </is>
      </c>
      <c r="D46" s="37" t="n">
        <v>46063</v>
      </c>
      <c r="E46" s="37" t="n">
        <v>46226</v>
      </c>
      <c r="F46" s="36" t="n">
        <v>163</v>
      </c>
      <c r="G46" s="36" t="b">
        <v>0</v>
      </c>
      <c r="H46" s="36" t="b">
        <v>0</v>
      </c>
      <c r="I46" s="36" t="n">
        <v>2</v>
      </c>
      <c r="J46" s="36" t="n">
        <v>2</v>
      </c>
      <c r="K46" s="37" t="n">
        <v>46234</v>
      </c>
      <c r="L46" s="38" t="n">
        <v>0</v>
      </c>
      <c r="M46" s="36" t="inlineStr">
        <is>
          <t>Booking</t>
        </is>
      </c>
      <c r="N46" s="39" t="inlineStr">
        <is>
          <t>Connected Health Plano &lt;&gt; Zoca</t>
        </is>
      </c>
      <c r="O46" s="2" t="b">
        <v>1</v>
      </c>
    </row>
    <row r="47">
      <c r="A47" s="40" t="inlineStr">
        <is>
          <t>Vita Aesthetics &amp; Wellness</t>
        </is>
      </c>
      <c r="B47" s="40" t="inlineStr">
        <is>
          <t>nick@montesmedical.com</t>
        </is>
      </c>
      <c r="C47" s="40" t="inlineStr">
        <is>
          <t>2026-02</t>
        </is>
      </c>
      <c r="D47" s="41" t="n">
        <v>46073</v>
      </c>
      <c r="E47" s="41" t="n"/>
      <c r="F47" s="40" t="n"/>
      <c r="G47" s="40" t="b">
        <v>0</v>
      </c>
      <c r="H47" s="40" t="b">
        <v>0</v>
      </c>
      <c r="I47" s="40" t="n">
        <v>0</v>
      </c>
      <c r="J47" s="40" t="n">
        <v>0</v>
      </c>
      <c r="K47" s="41" t="n"/>
      <c r="L47" s="42" t="n">
        <v>0</v>
      </c>
      <c r="M47" s="40" t="inlineStr">
        <is>
          <t>Never onboarded</t>
        </is>
      </c>
      <c r="N47" s="43" t="inlineStr">
        <is>
          <t>Nick montes and SHRUTI</t>
        </is>
      </c>
      <c r="O47" s="2" t="b">
        <v>1</v>
      </c>
    </row>
    <row r="48">
      <c r="A48" s="40" t="inlineStr">
        <is>
          <t>Lady Grace Beauty Spa</t>
        </is>
      </c>
      <c r="B48" s="40" t="inlineStr">
        <is>
          <t>parulrshah@hotmail.com</t>
        </is>
      </c>
      <c r="C48" s="40" t="inlineStr">
        <is>
          <t>2026-02</t>
        </is>
      </c>
      <c r="D48" s="41" t="n">
        <v>46079</v>
      </c>
      <c r="E48" s="41" t="n"/>
      <c r="F48" s="40" t="n"/>
      <c r="G48" s="40" t="b">
        <v>0</v>
      </c>
      <c r="H48" s="40" t="b">
        <v>0</v>
      </c>
      <c r="I48" s="40" t="n">
        <v>0</v>
      </c>
      <c r="J48" s="40" t="n">
        <v>0</v>
      </c>
      <c r="K48" s="41" t="n"/>
      <c r="L48" s="42" t="n">
        <v>0</v>
      </c>
      <c r="M48" s="40" t="inlineStr">
        <is>
          <t>Never onboarded</t>
        </is>
      </c>
      <c r="N48" s="43" t="inlineStr">
        <is>
          <t>Parul &lt;&gt; Zoca</t>
        </is>
      </c>
      <c r="O48" s="2" t="b">
        <v>1</v>
      </c>
    </row>
    <row r="49">
      <c r="A49" s="40" t="inlineStr">
        <is>
          <t>Alpha Massage &amp; Wellness</t>
        </is>
      </c>
      <c r="B49" s="40" t="inlineStr">
        <is>
          <t>book@alphamassage.co</t>
        </is>
      </c>
      <c r="C49" s="40" t="inlineStr">
        <is>
          <t>2026-02</t>
        </is>
      </c>
      <c r="D49" s="41" t="n">
        <v>46056</v>
      </c>
      <c r="E49" s="41" t="n"/>
      <c r="F49" s="40" t="n"/>
      <c r="G49" s="40" t="b">
        <v>0</v>
      </c>
      <c r="H49" s="40" t="b">
        <v>0</v>
      </c>
      <c r="I49" s="40" t="n">
        <v>0</v>
      </c>
      <c r="J49" s="40" t="n">
        <v>0</v>
      </c>
      <c r="K49" s="41" t="n"/>
      <c r="L49" s="42" t="n">
        <v>0</v>
      </c>
      <c r="M49" s="40" t="inlineStr">
        <is>
          <t>Never onboarded</t>
        </is>
      </c>
      <c r="N49" s="43" t="inlineStr">
        <is>
          <t>Caroline nyakundi and Bikash Chandra</t>
        </is>
      </c>
      <c r="O49" s="2" t="b">
        <v>1</v>
      </c>
    </row>
    <row r="50">
      <c r="A50" s="40" t="inlineStr">
        <is>
          <t>SUMMER'S HAIR BRAIDING</t>
        </is>
      </c>
      <c r="B50" s="40" t="inlineStr">
        <is>
          <t>summerbraidinghairsalon@gmail.com</t>
        </is>
      </c>
      <c r="C50" s="40" t="inlineStr">
        <is>
          <t>2026-02</t>
        </is>
      </c>
      <c r="D50" s="41" t="n">
        <v>46079</v>
      </c>
      <c r="E50" s="41" t="n"/>
      <c r="F50" s="40" t="n"/>
      <c r="G50" s="40" t="b">
        <v>0</v>
      </c>
      <c r="H50" s="40" t="b">
        <v>0</v>
      </c>
      <c r="I50" s="40" t="n">
        <v>0</v>
      </c>
      <c r="J50" s="40" t="n">
        <v>0</v>
      </c>
      <c r="K50" s="41" t="n"/>
      <c r="L50" s="42" t="n">
        <v>0</v>
      </c>
      <c r="M50" s="40" t="inlineStr">
        <is>
          <t>Never onboarded</t>
        </is>
      </c>
      <c r="N50" s="43" t="inlineStr">
        <is>
          <t>SUMMER'S HAIR BRAIDING X Zoca | Check In Febr</t>
        </is>
      </c>
      <c r="O50" s="2" t="b">
        <v>0</v>
      </c>
    </row>
    <row r="51">
      <c r="A51" s="12" t="inlineStr">
        <is>
          <t>Salon Greco The European Day Spa</t>
        </is>
      </c>
      <c r="B51" s="12" t="inlineStr">
        <is>
          <t>salongreco@aol.com</t>
        </is>
      </c>
      <c r="C51" s="12" t="inlineStr">
        <is>
          <t>2026-02</t>
        </is>
      </c>
      <c r="D51" s="29" t="n">
        <v>46069</v>
      </c>
      <c r="E51" s="29" t="n">
        <v>46226</v>
      </c>
      <c r="F51" s="12" t="n">
        <v>157</v>
      </c>
      <c r="G51" s="12" t="b">
        <v>0</v>
      </c>
      <c r="H51" s="12" t="b">
        <v>0</v>
      </c>
      <c r="I51" s="12" t="n">
        <v>0</v>
      </c>
      <c r="J51" s="12" t="n">
        <v>0</v>
      </c>
      <c r="K51" s="29" t="n"/>
      <c r="L51" s="30" t="n">
        <v>0</v>
      </c>
      <c r="M51" s="12" t="inlineStr">
        <is>
          <t>Onboarded, not enabled</t>
        </is>
      </c>
      <c r="N51" s="14" t="inlineStr">
        <is>
          <t>Cathie and Shikha</t>
        </is>
      </c>
      <c r="O51" s="2" t="b">
        <v>1</v>
      </c>
    </row>
    <row r="52">
      <c r="A52" s="40" t="inlineStr">
        <is>
          <t>GreenLotus Spa + Med Spa</t>
        </is>
      </c>
      <c r="B52" s="40" t="inlineStr">
        <is>
          <t>sherrywei87@gmail.com</t>
        </is>
      </c>
      <c r="C52" s="40" t="inlineStr">
        <is>
          <t>2026-02</t>
        </is>
      </c>
      <c r="D52" s="41" t="n">
        <v>46080</v>
      </c>
      <c r="E52" s="41" t="n"/>
      <c r="F52" s="40" t="n"/>
      <c r="G52" s="40" t="b">
        <v>0</v>
      </c>
      <c r="H52" s="40" t="b">
        <v>0</v>
      </c>
      <c r="I52" s="40" t="n">
        <v>0</v>
      </c>
      <c r="J52" s="40" t="n">
        <v>0</v>
      </c>
      <c r="K52" s="41" t="n"/>
      <c r="L52" s="42" t="n">
        <v>0</v>
      </c>
      <c r="M52" s="40" t="inlineStr">
        <is>
          <t>Never onboarded</t>
        </is>
      </c>
      <c r="N52" s="43" t="inlineStr">
        <is>
          <t>Green Lotus Spa X Zoca | Check In February</t>
        </is>
      </c>
      <c r="O52" s="2" t="b">
        <v>1</v>
      </c>
    </row>
    <row r="53">
      <c r="A53" s="40" t="inlineStr">
        <is>
          <t>Highline Aesthetics Denver</t>
        </is>
      </c>
      <c r="B53" s="40" t="inlineStr">
        <is>
          <t>jenna@highlineaestheticsdenver.com</t>
        </is>
      </c>
      <c r="C53" s="40" t="inlineStr">
        <is>
          <t>2026-02</t>
        </is>
      </c>
      <c r="D53" s="41" t="n">
        <v>46078</v>
      </c>
      <c r="E53" s="41" t="n"/>
      <c r="F53" s="40" t="n"/>
      <c r="G53" s="40" t="b">
        <v>0</v>
      </c>
      <c r="H53" s="40" t="b">
        <v>0</v>
      </c>
      <c r="I53" s="40" t="n">
        <v>0</v>
      </c>
      <c r="J53" s="40" t="n">
        <v>0</v>
      </c>
      <c r="K53" s="41" t="n"/>
      <c r="L53" s="42" t="n">
        <v>0</v>
      </c>
      <c r="M53" s="40" t="inlineStr">
        <is>
          <t>Never onboarded</t>
        </is>
      </c>
      <c r="N53" s="43" t="inlineStr">
        <is>
          <t>Highline Aesthetics Denver and SHRUTI</t>
        </is>
      </c>
      <c r="O53" s="2" t="b">
        <v>1</v>
      </c>
    </row>
    <row r="54">
      <c r="A54" s="40" t="inlineStr">
        <is>
          <t>Sublime Therapy Medical Massage</t>
        </is>
      </c>
      <c r="B54" s="40" t="inlineStr">
        <is>
          <t>sublimetherapymm@gmail.com</t>
        </is>
      </c>
      <c r="C54" s="40" t="inlineStr">
        <is>
          <t>2026-02</t>
        </is>
      </c>
      <c r="D54" s="41" t="n">
        <v>46080</v>
      </c>
      <c r="E54" s="41" t="n"/>
      <c r="F54" s="40" t="n"/>
      <c r="G54" s="40" t="b">
        <v>0</v>
      </c>
      <c r="H54" s="40" t="b">
        <v>0</v>
      </c>
      <c r="I54" s="40" t="n">
        <v>0</v>
      </c>
      <c r="J54" s="40" t="n">
        <v>0</v>
      </c>
      <c r="K54" s="41" t="n"/>
      <c r="L54" s="42" t="n">
        <v>0</v>
      </c>
      <c r="M54" s="40" t="inlineStr">
        <is>
          <t>Never onboarded</t>
        </is>
      </c>
      <c r="N54" s="43" t="inlineStr">
        <is>
          <t>Betty Soriano and SHRUTI</t>
        </is>
      </c>
      <c r="O54" s="2" t="b">
        <v>0</v>
      </c>
    </row>
    <row r="55">
      <c r="A55" s="40" t="inlineStr">
        <is>
          <t>Vineeta's Beauty Care</t>
        </is>
      </c>
      <c r="B55" s="40" t="inlineStr">
        <is>
          <t>ajit2k@gmail.com</t>
        </is>
      </c>
      <c r="C55" s="40" t="inlineStr">
        <is>
          <t>2026-02</t>
        </is>
      </c>
      <c r="D55" s="41" t="n">
        <v>46069</v>
      </c>
      <c r="E55" s="41" t="n"/>
      <c r="F55" s="40" t="n"/>
      <c r="G55" s="40" t="b">
        <v>0</v>
      </c>
      <c r="H55" s="40" t="b">
        <v>0</v>
      </c>
      <c r="I55" s="40" t="n">
        <v>0</v>
      </c>
      <c r="J55" s="40" t="n">
        <v>0</v>
      </c>
      <c r="K55" s="41" t="n"/>
      <c r="L55" s="42" t="n">
        <v>0</v>
      </c>
      <c r="M55" s="40" t="inlineStr">
        <is>
          <t>Never onboarded</t>
        </is>
      </c>
      <c r="N55" s="43" t="inlineStr">
        <is>
          <t>Vineeta's Beauty Care &lt;&gt; Zoca</t>
        </is>
      </c>
      <c r="O55" s="2" t="b">
        <v>1</v>
      </c>
    </row>
    <row r="56">
      <c r="A56" s="40" t="inlineStr">
        <is>
          <t>Catalia Beauty &amp; Wellness</t>
        </is>
      </c>
      <c r="B56" s="40" t="inlineStr">
        <is>
          <t>catalianyc@gmail.com</t>
        </is>
      </c>
      <c r="C56" s="40" t="inlineStr">
        <is>
          <t>2026-02</t>
        </is>
      </c>
      <c r="D56" s="41" t="n">
        <v>46079</v>
      </c>
      <c r="E56" s="41" t="n"/>
      <c r="F56" s="40" t="n"/>
      <c r="G56" s="40" t="b">
        <v>0</v>
      </c>
      <c r="H56" s="40" t="b">
        <v>0</v>
      </c>
      <c r="I56" s="40" t="n">
        <v>0</v>
      </c>
      <c r="J56" s="40" t="n">
        <v>0</v>
      </c>
      <c r="K56" s="41" t="n"/>
      <c r="L56" s="42" t="n">
        <v>0</v>
      </c>
      <c r="M56" s="40" t="inlineStr">
        <is>
          <t>Never onboarded</t>
        </is>
      </c>
      <c r="N56" s="43" t="inlineStr">
        <is>
          <t>Avi and Hubern</t>
        </is>
      </c>
      <c r="O56" s="2" t="b">
        <v>1</v>
      </c>
    </row>
    <row r="57">
      <c r="A57" s="36" t="inlineStr">
        <is>
          <t>Leena's Laser Center</t>
        </is>
      </c>
      <c r="B57" s="36" t="inlineStr">
        <is>
          <t>desouza.leena@gmail.com</t>
        </is>
      </c>
      <c r="C57" s="36" t="inlineStr">
        <is>
          <t>2026-03</t>
        </is>
      </c>
      <c r="D57" s="37" t="n">
        <v>46106</v>
      </c>
      <c r="E57" s="37" t="n">
        <v>46113</v>
      </c>
      <c r="F57" s="36" t="n">
        <v>7</v>
      </c>
      <c r="G57" s="36" t="b">
        <v>1</v>
      </c>
      <c r="H57" s="36" t="b">
        <v>0</v>
      </c>
      <c r="I57" s="36" t="n">
        <v>532</v>
      </c>
      <c r="J57" s="36" t="n">
        <v>80</v>
      </c>
      <c r="K57" s="37" t="n">
        <v>46237</v>
      </c>
      <c r="L57" s="38" t="n">
        <v>0</v>
      </c>
      <c r="M57" s="36" t="inlineStr">
        <is>
          <t>Booking</t>
        </is>
      </c>
      <c r="N57" s="39" t="inlineStr">
        <is>
          <t>Leena &lt;&gt; Zoca Check In</t>
        </is>
      </c>
      <c r="O57" s="2" t="b">
        <v>1</v>
      </c>
    </row>
    <row r="58">
      <c r="A58" s="36" t="inlineStr">
        <is>
          <t>The Body Lux: Brazilian Lymphatic Drainage &amp; Body Contouring</t>
        </is>
      </c>
      <c r="B58" s="36" t="inlineStr">
        <is>
          <t>thebodyluxspaaz@gmail.com</t>
        </is>
      </c>
      <c r="C58" s="36" t="inlineStr">
        <is>
          <t>2026-03</t>
        </is>
      </c>
      <c r="D58" s="37" t="n">
        <v>46092</v>
      </c>
      <c r="E58" s="37" t="n">
        <v>46119</v>
      </c>
      <c r="F58" s="36" t="n">
        <v>27</v>
      </c>
      <c r="G58" s="36" t="b">
        <v>1</v>
      </c>
      <c r="H58" s="36" t="b">
        <v>1</v>
      </c>
      <c r="I58" s="36" t="n">
        <v>350</v>
      </c>
      <c r="J58" s="36" t="n">
        <v>44</v>
      </c>
      <c r="K58" s="37" t="n">
        <v>46237</v>
      </c>
      <c r="L58" s="38" t="n">
        <v>19154.84</v>
      </c>
      <c r="M58" s="36" t="inlineStr">
        <is>
          <t>Booking</t>
        </is>
      </c>
      <c r="N58" s="39" t="inlineStr">
        <is>
          <t>Isabel &lt;&gt; Check - in</t>
        </is>
      </c>
      <c r="O58" s="2" t="b">
        <v>1</v>
      </c>
    </row>
    <row r="59">
      <c r="A59" s="36" t="inlineStr">
        <is>
          <t>Luna Lucci Hair Salon</t>
        </is>
      </c>
      <c r="B59" s="36" t="inlineStr">
        <is>
          <t>lunaluccisalon@gmail.com</t>
        </is>
      </c>
      <c r="C59" s="36" t="inlineStr">
        <is>
          <t>2026-03</t>
        </is>
      </c>
      <c r="D59" s="37" t="n">
        <v>46084</v>
      </c>
      <c r="E59" s="37" t="n">
        <v>46121</v>
      </c>
      <c r="F59" s="36" t="n">
        <v>37</v>
      </c>
      <c r="G59" s="36" t="b">
        <v>1</v>
      </c>
      <c r="H59" s="36" t="b">
        <v>1</v>
      </c>
      <c r="I59" s="36" t="n">
        <v>56</v>
      </c>
      <c r="J59" s="36" t="n">
        <v>56</v>
      </c>
      <c r="K59" s="37" t="n">
        <v>46234</v>
      </c>
      <c r="L59" s="38" t="n">
        <v>0</v>
      </c>
      <c r="M59" s="36" t="inlineStr">
        <is>
          <t>Booking</t>
        </is>
      </c>
      <c r="N59" s="39" t="inlineStr">
        <is>
          <t>Luna Lucci Hair Salon X Zoca | Check In March</t>
        </is>
      </c>
      <c r="O59" s="2" t="b">
        <v>1</v>
      </c>
    </row>
    <row r="60">
      <c r="A60" s="36" t="inlineStr">
        <is>
          <t>Shine BE Happy - Hair, Nails &amp; Skincare</t>
        </is>
      </c>
      <c r="B60" s="36" t="inlineStr">
        <is>
          <t>kelly.shinebehappy@gmail.com</t>
        </is>
      </c>
      <c r="C60" s="36" t="inlineStr">
        <is>
          <t>2026-03</t>
        </is>
      </c>
      <c r="D60" s="37" t="n">
        <v>46083</v>
      </c>
      <c r="E60" s="37" t="n">
        <v>46195</v>
      </c>
      <c r="F60" s="36" t="n">
        <v>112</v>
      </c>
      <c r="G60" s="36" t="b">
        <v>1</v>
      </c>
      <c r="H60" s="36" t="b">
        <v>0</v>
      </c>
      <c r="I60" s="36" t="n">
        <v>7</v>
      </c>
      <c r="J60" s="36" t="n">
        <v>0</v>
      </c>
      <c r="K60" s="37" t="n">
        <v>46237</v>
      </c>
      <c r="L60" s="38" t="n">
        <v>0</v>
      </c>
      <c r="M60" s="36" t="inlineStr">
        <is>
          <t>Booking</t>
        </is>
      </c>
      <c r="N60" s="39" t="inlineStr">
        <is>
          <t>Shine BE Happy - Hair, Nails &amp; Skincare X Zoc</t>
        </is>
      </c>
      <c r="O60" s="2" t="b">
        <v>1</v>
      </c>
    </row>
    <row r="61">
      <c r="A61" s="40" t="inlineStr">
        <is>
          <t>Journey Within Wellness Center / Spa</t>
        </is>
      </c>
      <c r="B61" s="40" t="inlineStr">
        <is>
          <t>journeywithincarlos@gmail.com</t>
        </is>
      </c>
      <c r="C61" s="40" t="inlineStr">
        <is>
          <t>2026-03</t>
        </is>
      </c>
      <c r="D61" s="41" t="n">
        <v>46090</v>
      </c>
      <c r="E61" s="41" t="n"/>
      <c r="F61" s="40" t="n"/>
      <c r="G61" s="40" t="b">
        <v>0</v>
      </c>
      <c r="H61" s="40" t="b">
        <v>0</v>
      </c>
      <c r="I61" s="40" t="n">
        <v>0</v>
      </c>
      <c r="J61" s="40" t="n">
        <v>0</v>
      </c>
      <c r="K61" s="41" t="n"/>
      <c r="L61" s="42" t="n">
        <v>0</v>
      </c>
      <c r="M61" s="40" t="inlineStr">
        <is>
          <t>Never onboarded</t>
        </is>
      </c>
      <c r="N61" s="43" t="inlineStr">
        <is>
          <t>Carlos &lt;&gt; Check - in</t>
        </is>
      </c>
      <c r="O61" s="2" t="b">
        <v>1</v>
      </c>
    </row>
    <row r="62">
      <c r="A62" s="40" t="inlineStr">
        <is>
          <t>Faye Aesthetics, Inc.</t>
        </is>
      </c>
      <c r="B62" s="40" t="inlineStr">
        <is>
          <t>fayedodgeesthetics@gmail.com</t>
        </is>
      </c>
      <c r="C62" s="40" t="inlineStr">
        <is>
          <t>2026-03</t>
        </is>
      </c>
      <c r="D62" s="41" t="n">
        <v>46112</v>
      </c>
      <c r="E62" s="41" t="n"/>
      <c r="F62" s="40" t="n"/>
      <c r="G62" s="40" t="b">
        <v>0</v>
      </c>
      <c r="H62" s="40" t="b">
        <v>0</v>
      </c>
      <c r="I62" s="40" t="n">
        <v>0</v>
      </c>
      <c r="J62" s="40" t="n">
        <v>0</v>
      </c>
      <c r="K62" s="41" t="n"/>
      <c r="L62" s="42" t="n">
        <v>0</v>
      </c>
      <c r="M62" s="40" t="inlineStr">
        <is>
          <t>Never onboarded</t>
        </is>
      </c>
      <c r="N62" s="43" t="inlineStr">
        <is>
          <t>Faye Aesthetics, Inc. X Zoca | Check In March</t>
        </is>
      </c>
      <c r="O62" s="2" t="b">
        <v>1</v>
      </c>
    </row>
    <row r="63">
      <c r="A63" s="40" t="inlineStr">
        <is>
          <t>J Madison Spa</t>
        </is>
      </c>
      <c r="B63" s="40" t="inlineStr">
        <is>
          <t>info@jmadisonspa.com</t>
        </is>
      </c>
      <c r="C63" s="40" t="inlineStr">
        <is>
          <t>2026-03</t>
        </is>
      </c>
      <c r="D63" s="41" t="n">
        <v>46084</v>
      </c>
      <c r="E63" s="41" t="n"/>
      <c r="F63" s="40" t="n"/>
      <c r="G63" s="40" t="b">
        <v>0</v>
      </c>
      <c r="H63" s="40" t="b">
        <v>0</v>
      </c>
      <c r="I63" s="40" t="n">
        <v>0</v>
      </c>
      <c r="J63" s="40" t="n">
        <v>0</v>
      </c>
      <c r="K63" s="41" t="n"/>
      <c r="L63" s="42" t="n">
        <v>0</v>
      </c>
      <c r="M63" s="40" t="inlineStr">
        <is>
          <t>Never onboarded</t>
        </is>
      </c>
      <c r="N63" s="43" t="inlineStr">
        <is>
          <t>Zoca Check-in Call with Roseanne</t>
        </is>
      </c>
      <c r="O63" s="2" t="b">
        <v>1</v>
      </c>
    </row>
    <row r="64">
      <c r="A64" s="40" t="inlineStr">
        <is>
          <t>Katherine Booth skincare &amp; Spa</t>
        </is>
      </c>
      <c r="B64" s="40" t="inlineStr">
        <is>
          <t>kboothskincare@gmail.com</t>
        </is>
      </c>
      <c r="C64" s="40" t="inlineStr">
        <is>
          <t>2026-03</t>
        </is>
      </c>
      <c r="D64" s="41" t="n">
        <v>46084</v>
      </c>
      <c r="E64" s="41" t="n"/>
      <c r="F64" s="40" t="n"/>
      <c r="G64" s="40" t="b">
        <v>0</v>
      </c>
      <c r="H64" s="40" t="b">
        <v>0</v>
      </c>
      <c r="I64" s="40" t="n">
        <v>0</v>
      </c>
      <c r="J64" s="40" t="n">
        <v>0</v>
      </c>
      <c r="K64" s="41" t="n"/>
      <c r="L64" s="42" t="n">
        <v>0</v>
      </c>
      <c r="M64" s="40" t="inlineStr">
        <is>
          <t>Never onboarded</t>
        </is>
      </c>
      <c r="N64" s="43" t="inlineStr">
        <is>
          <t>Katherine Booth Skincare &amp; Spa X Zoca | Check</t>
        </is>
      </c>
      <c r="O64" s="2" t="b">
        <v>1</v>
      </c>
    </row>
    <row r="65">
      <c r="A65" s="40" t="inlineStr">
        <is>
          <t>Shahin Javaheri, MD - Plastic Surgeon San Francisco</t>
        </is>
      </c>
      <c r="B65" s="40" t="inlineStr">
        <is>
          <t>info@sfplasticsurgeon.com</t>
        </is>
      </c>
      <c r="C65" s="40" t="inlineStr">
        <is>
          <t>2026-03</t>
        </is>
      </c>
      <c r="D65" s="41" t="n">
        <v>46104</v>
      </c>
      <c r="E65" s="41" t="n"/>
      <c r="F65" s="40" t="n"/>
      <c r="G65" s="40" t="b">
        <v>0</v>
      </c>
      <c r="H65" s="40" t="b">
        <v>0</v>
      </c>
      <c r="I65" s="40" t="n">
        <v>0</v>
      </c>
      <c r="J65" s="40" t="n">
        <v>0</v>
      </c>
      <c r="K65" s="41" t="n"/>
      <c r="L65" s="42" t="n">
        <v>0</v>
      </c>
      <c r="M65" s="40" t="inlineStr">
        <is>
          <t>Never onboarded</t>
        </is>
      </c>
      <c r="N65" s="43" t="inlineStr">
        <is>
          <t>rosh patel and Shruti Sinha</t>
        </is>
      </c>
      <c r="O65" s="2" t="b">
        <v>1</v>
      </c>
    </row>
    <row r="66">
      <c r="A66" s="40" t="inlineStr">
        <is>
          <t>Angie Curly Hair Stylist at Chatters SOUTHGATE</t>
        </is>
      </c>
      <c r="B66" s="40" t="inlineStr">
        <is>
          <t>angie.d.elder@gmail.com</t>
        </is>
      </c>
      <c r="C66" s="40" t="inlineStr">
        <is>
          <t>2026-03</t>
        </is>
      </c>
      <c r="D66" s="41" t="n">
        <v>46092</v>
      </c>
      <c r="E66" s="41" t="n"/>
      <c r="F66" s="40" t="n"/>
      <c r="G66" s="40" t="b">
        <v>0</v>
      </c>
      <c r="H66" s="40" t="b">
        <v>0</v>
      </c>
      <c r="I66" s="40" t="n">
        <v>0</v>
      </c>
      <c r="J66" s="40" t="n">
        <v>0</v>
      </c>
      <c r="K66" s="41" t="n"/>
      <c r="L66" s="42" t="n">
        <v>0</v>
      </c>
      <c r="M66" s="40" t="inlineStr">
        <is>
          <t>Never onboarded</t>
        </is>
      </c>
      <c r="N66" s="43" t="inlineStr">
        <is>
          <t>Angie Curly Hair Stylist &lt;&gt; Check in | March</t>
        </is>
      </c>
      <c r="O66" s="2" t="b">
        <v>1</v>
      </c>
    </row>
    <row r="67">
      <c r="A67" s="40" t="inlineStr">
        <is>
          <t>Ohana Sun Tanning</t>
        </is>
      </c>
      <c r="B67" s="40" t="inlineStr">
        <is>
          <t>tan@ohanasuntanning.com</t>
        </is>
      </c>
      <c r="C67" s="40" t="inlineStr">
        <is>
          <t>2026-03</t>
        </is>
      </c>
      <c r="D67" s="41" t="n">
        <v>46086</v>
      </c>
      <c r="E67" s="41" t="n"/>
      <c r="F67" s="40" t="n"/>
      <c r="G67" s="40" t="b">
        <v>0</v>
      </c>
      <c r="H67" s="40" t="b">
        <v>0</v>
      </c>
      <c r="I67" s="40" t="n">
        <v>0</v>
      </c>
      <c r="J67" s="40" t="n">
        <v>0</v>
      </c>
      <c r="K67" s="41" t="n"/>
      <c r="L67" s="42" t="n">
        <v>0</v>
      </c>
      <c r="M67" s="40" t="inlineStr">
        <is>
          <t>Never onboarded</t>
        </is>
      </c>
      <c r="N67" s="43" t="inlineStr">
        <is>
          <t>zoca check in</t>
        </is>
      </c>
      <c r="O67" s="2" t="b">
        <v>1</v>
      </c>
    </row>
    <row r="68">
      <c r="A68" s="40" t="inlineStr">
        <is>
          <t>Serenity Nails And Spa LLC</t>
        </is>
      </c>
      <c r="B68" s="40" t="inlineStr">
        <is>
          <t>serenitynails1@yahoo.com</t>
        </is>
      </c>
      <c r="C68" s="40" t="inlineStr">
        <is>
          <t>2026-03</t>
        </is>
      </c>
      <c r="D68" s="41" t="n">
        <v>46083</v>
      </c>
      <c r="E68" s="41" t="n"/>
      <c r="F68" s="40" t="n"/>
      <c r="G68" s="40" t="b">
        <v>0</v>
      </c>
      <c r="H68" s="40" t="b">
        <v>0</v>
      </c>
      <c r="I68" s="40" t="n">
        <v>0</v>
      </c>
      <c r="J68" s="40" t="n">
        <v>0</v>
      </c>
      <c r="K68" s="41" t="n"/>
      <c r="L68" s="42" t="n">
        <v>0</v>
      </c>
      <c r="M68" s="40" t="inlineStr">
        <is>
          <t>Never onboarded</t>
        </is>
      </c>
      <c r="N68" s="43" t="inlineStr">
        <is>
          <t>Janan Kaoud and Apurvaa Biswas</t>
        </is>
      </c>
      <c r="O68" s="2" t="b">
        <v>1</v>
      </c>
    </row>
    <row r="69">
      <c r="A69" s="40" t="inlineStr">
        <is>
          <t>Ivy and Mane Salon &amp; Spa</t>
        </is>
      </c>
      <c r="B69" s="40" t="inlineStr">
        <is>
          <t>ivyandmane.beauty@gmail.com</t>
        </is>
      </c>
      <c r="C69" s="40" t="inlineStr">
        <is>
          <t>2026-03</t>
        </is>
      </c>
      <c r="D69" s="41" t="n">
        <v>46085</v>
      </c>
      <c r="E69" s="41" t="n"/>
      <c r="F69" s="40" t="n"/>
      <c r="G69" s="40" t="b">
        <v>0</v>
      </c>
      <c r="H69" s="40" t="b">
        <v>0</v>
      </c>
      <c r="I69" s="40" t="n">
        <v>0</v>
      </c>
      <c r="J69" s="40" t="n">
        <v>0</v>
      </c>
      <c r="K69" s="41" t="n"/>
      <c r="L69" s="42" t="n">
        <v>0</v>
      </c>
      <c r="M69" s="40" t="inlineStr">
        <is>
          <t>Never onboarded</t>
        </is>
      </c>
      <c r="N69" s="43" t="inlineStr">
        <is>
          <t>Rebecca  and Hubern</t>
        </is>
      </c>
      <c r="O69" s="2" t="b">
        <v>1</v>
      </c>
    </row>
    <row r="70">
      <c r="A70" s="40" t="inlineStr">
        <is>
          <t>Kinkology Locs &amp; Natural Haircare</t>
        </is>
      </c>
      <c r="B70" s="40" t="inlineStr">
        <is>
          <t>noelette@kinkologyhaircare.com</t>
        </is>
      </c>
      <c r="C70" s="40" t="inlineStr">
        <is>
          <t>2026-03</t>
        </is>
      </c>
      <c r="D70" s="41" t="n">
        <v>46106</v>
      </c>
      <c r="E70" s="41" t="n"/>
      <c r="F70" s="40" t="n"/>
      <c r="G70" s="40" t="b">
        <v>0</v>
      </c>
      <c r="H70" s="40" t="b">
        <v>0</v>
      </c>
      <c r="I70" s="40" t="n">
        <v>0</v>
      </c>
      <c r="J70" s="40" t="n">
        <v>0</v>
      </c>
      <c r="K70" s="41" t="n"/>
      <c r="L70" s="42" t="n">
        <v>0</v>
      </c>
      <c r="M70" s="40" t="inlineStr">
        <is>
          <t>Never onboarded</t>
        </is>
      </c>
      <c r="N70" s="43" t="inlineStr">
        <is>
          <t>Kinkology Locs &amp; Natural Haircare X Zoca | Ch</t>
        </is>
      </c>
      <c r="O70" s="2" t="b">
        <v>1</v>
      </c>
    </row>
    <row r="71">
      <c r="A71" s="40" t="inlineStr">
        <is>
          <t>OBNoxious Beauty MedSpa</t>
        </is>
      </c>
      <c r="B71" s="40" t="inlineStr">
        <is>
          <t>obnbeauty@gmail.com</t>
        </is>
      </c>
      <c r="C71" s="40" t="inlineStr">
        <is>
          <t>2026-03</t>
        </is>
      </c>
      <c r="D71" s="41" t="n">
        <v>46084</v>
      </c>
      <c r="E71" s="41" t="n"/>
      <c r="F71" s="40" t="n"/>
      <c r="G71" s="40" t="b">
        <v>0</v>
      </c>
      <c r="H71" s="40" t="b">
        <v>0</v>
      </c>
      <c r="I71" s="40" t="n">
        <v>0</v>
      </c>
      <c r="J71" s="40" t="n">
        <v>0</v>
      </c>
      <c r="K71" s="41" t="n"/>
      <c r="L71" s="42" t="n">
        <v>0</v>
      </c>
      <c r="M71" s="40" t="inlineStr">
        <is>
          <t>Never onboarded</t>
        </is>
      </c>
      <c r="N71" s="43" t="inlineStr">
        <is>
          <t>OBNoxious Beauty MedSpa</t>
        </is>
      </c>
      <c r="O71" s="2" t="b">
        <v>0</v>
      </c>
    </row>
    <row r="72">
      <c r="A72" s="40" t="inlineStr">
        <is>
          <t>Naree Massage &amp; Spa</t>
        </is>
      </c>
      <c r="B72" s="40" t="inlineStr">
        <is>
          <t>oysaisit@yahoo.com</t>
        </is>
      </c>
      <c r="C72" s="40" t="inlineStr">
        <is>
          <t>2026-03</t>
        </is>
      </c>
      <c r="D72" s="41" t="n">
        <v>46087</v>
      </c>
      <c r="E72" s="41" t="n"/>
      <c r="F72" s="40" t="n"/>
      <c r="G72" s="40" t="b">
        <v>0</v>
      </c>
      <c r="H72" s="40" t="b">
        <v>0</v>
      </c>
      <c r="I72" s="40" t="n">
        <v>0</v>
      </c>
      <c r="J72" s="40" t="n">
        <v>0</v>
      </c>
      <c r="K72" s="41" t="n"/>
      <c r="L72" s="42" t="n">
        <v>0</v>
      </c>
      <c r="M72" s="40" t="inlineStr">
        <is>
          <t>Never onboarded</t>
        </is>
      </c>
      <c r="N72" s="43" t="inlineStr">
        <is>
          <t>Zoca Scheduling Onboarding (Sapha Pickering)</t>
        </is>
      </c>
      <c r="O72" s="2" t="b">
        <v>0</v>
      </c>
    </row>
    <row r="73">
      <c r="A73" s="40" t="inlineStr">
        <is>
          <t>On Point Hair Salon by Toni Fountain</t>
        </is>
      </c>
      <c r="B73" s="40" t="inlineStr">
        <is>
          <t>toni@tonifountainhair.com</t>
        </is>
      </c>
      <c r="C73" s="40" t="inlineStr">
        <is>
          <t>2026-03</t>
        </is>
      </c>
      <c r="D73" s="41" t="n">
        <v>46105</v>
      </c>
      <c r="E73" s="41" t="n"/>
      <c r="F73" s="40" t="n"/>
      <c r="G73" s="40" t="b">
        <v>0</v>
      </c>
      <c r="H73" s="40" t="b">
        <v>0</v>
      </c>
      <c r="I73" s="40" t="n">
        <v>0</v>
      </c>
      <c r="J73" s="40" t="n">
        <v>0</v>
      </c>
      <c r="K73" s="41" t="n"/>
      <c r="L73" s="42" t="n">
        <v>0</v>
      </c>
      <c r="M73" s="40" t="inlineStr">
        <is>
          <t>Never onboarded</t>
        </is>
      </c>
      <c r="N73" s="43" t="inlineStr">
        <is>
          <t>On Point Hair Salon by Toni Fountain X Zoca |</t>
        </is>
      </c>
      <c r="O73" s="2" t="b">
        <v>1</v>
      </c>
    </row>
    <row r="74">
      <c r="A74" s="40" t="inlineStr">
        <is>
          <t>Designer Nails</t>
        </is>
      </c>
      <c r="B74" s="40" t="inlineStr">
        <is>
          <t>apasion01@gmail.com</t>
        </is>
      </c>
      <c r="C74" s="40" t="inlineStr">
        <is>
          <t>2026-03</t>
        </is>
      </c>
      <c r="D74" s="41" t="n">
        <v>46091</v>
      </c>
      <c r="E74" s="41" t="n"/>
      <c r="F74" s="40" t="n"/>
      <c r="G74" s="40" t="b">
        <v>0</v>
      </c>
      <c r="H74" s="40" t="b">
        <v>0</v>
      </c>
      <c r="I74" s="40" t="n">
        <v>0</v>
      </c>
      <c r="J74" s="40" t="n">
        <v>0</v>
      </c>
      <c r="K74" s="41" t="n"/>
      <c r="L74" s="42" t="n">
        <v>0</v>
      </c>
      <c r="M74" s="40" t="inlineStr">
        <is>
          <t>Never onboarded</t>
        </is>
      </c>
      <c r="N74" s="43" t="inlineStr">
        <is>
          <t>Designer Nails x Zoca</t>
        </is>
      </c>
      <c r="O74" s="2" t="b">
        <v>1</v>
      </c>
    </row>
    <row r="75">
      <c r="A75" s="36" t="inlineStr">
        <is>
          <t>Garden Glam Beauty</t>
        </is>
      </c>
      <c r="B75" s="36" t="inlineStr">
        <is>
          <t>gardenglambeauty089@gmail.com</t>
        </is>
      </c>
      <c r="C75" s="36" t="inlineStr">
        <is>
          <t>2026-04</t>
        </is>
      </c>
      <c r="D75" s="37" t="n">
        <v>46129</v>
      </c>
      <c r="E75" s="37" t="n">
        <v>46185</v>
      </c>
      <c r="F75" s="36" t="n">
        <v>56</v>
      </c>
      <c r="G75" s="36" t="b">
        <v>1</v>
      </c>
      <c r="H75" s="36" t="b">
        <v>0</v>
      </c>
      <c r="I75" s="36" t="n">
        <v>53</v>
      </c>
      <c r="J75" s="36" t="n">
        <v>17</v>
      </c>
      <c r="K75" s="37" t="n">
        <v>46235</v>
      </c>
      <c r="L75" s="38" t="n">
        <v>0</v>
      </c>
      <c r="M75" s="36" t="inlineStr">
        <is>
          <t>Booking</t>
        </is>
      </c>
      <c r="N75" s="39" t="inlineStr">
        <is>
          <t>Garden Glam Beauty X Zoca | Check In April</t>
        </is>
      </c>
      <c r="O75" s="2" t="b">
        <v>1</v>
      </c>
    </row>
    <row r="76">
      <c r="A76" s="36" t="inlineStr">
        <is>
          <t>Golden Jade Massage &amp; Healing</t>
        </is>
      </c>
      <c r="B76" s="36" t="inlineStr">
        <is>
          <t>goldenjade.mh@gmail.com</t>
        </is>
      </c>
      <c r="C76" s="36" t="inlineStr">
        <is>
          <t>2026-04</t>
        </is>
      </c>
      <c r="D76" s="37" t="n">
        <v>46134</v>
      </c>
      <c r="E76" s="37" t="n">
        <v>46232</v>
      </c>
      <c r="F76" s="36" t="n">
        <v>98</v>
      </c>
      <c r="G76" s="36" t="b">
        <v>1</v>
      </c>
      <c r="H76" s="36" t="b">
        <v>0</v>
      </c>
      <c r="I76" s="36" t="n">
        <v>10</v>
      </c>
      <c r="J76" s="36" t="n">
        <v>6</v>
      </c>
      <c r="K76" s="37" t="n">
        <v>46236</v>
      </c>
      <c r="L76" s="38" t="n">
        <v>171479</v>
      </c>
      <c r="M76" s="36" t="inlineStr">
        <is>
          <t>Booking</t>
        </is>
      </c>
      <c r="N76" s="39" t="inlineStr">
        <is>
          <t xml:space="preserve">Golden Jade Massage &amp; Healing X Zoca | Check </t>
        </is>
      </c>
      <c r="O76" s="2" t="b">
        <v>1</v>
      </c>
    </row>
    <row r="77">
      <c r="A77" s="36" t="inlineStr">
        <is>
          <t>Worldwide Stretch Therapy</t>
        </is>
      </c>
      <c r="B77" s="36" t="inlineStr">
        <is>
          <t>philoy.williams@gmail.com</t>
        </is>
      </c>
      <c r="C77" s="36" t="inlineStr">
        <is>
          <t>2026-04</t>
        </is>
      </c>
      <c r="D77" s="37" t="n">
        <v>46135</v>
      </c>
      <c r="E77" s="37" t="n">
        <v>46227</v>
      </c>
      <c r="F77" s="36" t="n">
        <v>92</v>
      </c>
      <c r="G77" s="36" t="b">
        <v>1</v>
      </c>
      <c r="H77" s="36" t="b">
        <v>1</v>
      </c>
      <c r="I77" s="36" t="n">
        <v>1</v>
      </c>
      <c r="J77" s="36" t="n">
        <v>1</v>
      </c>
      <c r="K77" s="37" t="n">
        <v>46236</v>
      </c>
      <c r="L77" s="38" t="n">
        <v>0</v>
      </c>
      <c r="M77" s="36" t="inlineStr">
        <is>
          <t>Booking</t>
        </is>
      </c>
      <c r="N77" s="39" t="inlineStr">
        <is>
          <t>Worldwide Stretch Therapy X Zoca | Check In A</t>
        </is>
      </c>
      <c r="O77" s="2" t="b">
        <v>1</v>
      </c>
    </row>
    <row r="78">
      <c r="A78" s="40" t="inlineStr">
        <is>
          <t>Houston braid and weave lounge</t>
        </is>
      </c>
      <c r="B78" s="40" t="inlineStr">
        <is>
          <t>dd.anta22@gmail.com</t>
        </is>
      </c>
      <c r="C78" s="40" t="inlineStr">
        <is>
          <t>2026-04</t>
        </is>
      </c>
      <c r="D78" s="41" t="n">
        <v>46119</v>
      </c>
      <c r="E78" s="41" t="n"/>
      <c r="F78" s="40" t="n"/>
      <c r="G78" s="40" t="b">
        <v>0</v>
      </c>
      <c r="H78" s="40" t="b">
        <v>0</v>
      </c>
      <c r="I78" s="40" t="n">
        <v>0</v>
      </c>
      <c r="J78" s="40" t="n">
        <v>0</v>
      </c>
      <c r="K78" s="41" t="n"/>
      <c r="L78" s="42" t="n">
        <v>0</v>
      </c>
      <c r="M78" s="40" t="inlineStr">
        <is>
          <t>Never onboarded</t>
        </is>
      </c>
      <c r="N78" s="43" t="inlineStr">
        <is>
          <t>Houston braid and weave lounge X Zoca | Check</t>
        </is>
      </c>
      <c r="O78" s="2" t="b">
        <v>1</v>
      </c>
    </row>
    <row r="79">
      <c r="A79" s="40" t="inlineStr">
        <is>
          <t>Hair N' Bloom</t>
        </is>
      </c>
      <c r="B79" s="40" t="inlineStr">
        <is>
          <t>veronicaeli7@gmail.com</t>
        </is>
      </c>
      <c r="C79" s="40" t="inlineStr">
        <is>
          <t>2026-04</t>
        </is>
      </c>
      <c r="D79" s="41" t="n">
        <v>46120</v>
      </c>
      <c r="E79" s="41" t="n"/>
      <c r="F79" s="40" t="n"/>
      <c r="G79" s="40" t="b">
        <v>0</v>
      </c>
      <c r="H79" s="40" t="b">
        <v>0</v>
      </c>
      <c r="I79" s="40" t="n">
        <v>0</v>
      </c>
      <c r="J79" s="40" t="n">
        <v>0</v>
      </c>
      <c r="K79" s="41" t="n"/>
      <c r="L79" s="42" t="n">
        <v>0</v>
      </c>
      <c r="M79" s="40" t="inlineStr">
        <is>
          <t>Never onboarded</t>
        </is>
      </c>
      <c r="N79" s="43" t="inlineStr">
        <is>
          <t>Hair N' Bloom X Zoca | Check In April</t>
        </is>
      </c>
      <c r="O79" s="2" t="b">
        <v>1</v>
      </c>
    </row>
    <row r="80">
      <c r="A80" s="40" t="inlineStr">
        <is>
          <t>Nilora beauty hair salon</t>
        </is>
      </c>
      <c r="B80" s="40" t="inlineStr">
        <is>
          <t>nilorabyniloo@gmail.com</t>
        </is>
      </c>
      <c r="C80" s="40" t="inlineStr">
        <is>
          <t>2026-04</t>
        </is>
      </c>
      <c r="D80" s="41" t="n">
        <v>46140</v>
      </c>
      <c r="E80" s="41" t="n"/>
      <c r="F80" s="40" t="n"/>
      <c r="G80" s="40" t="b">
        <v>0</v>
      </c>
      <c r="H80" s="40" t="b">
        <v>0</v>
      </c>
      <c r="I80" s="40" t="n">
        <v>0</v>
      </c>
      <c r="J80" s="40" t="n">
        <v>0</v>
      </c>
      <c r="K80" s="41" t="n"/>
      <c r="L80" s="42" t="n">
        <v>0</v>
      </c>
      <c r="M80" s="40" t="inlineStr">
        <is>
          <t>Never onboarded</t>
        </is>
      </c>
      <c r="N80" s="43" t="inlineStr">
        <is>
          <t>Zoca Check In &lt;&gt; Niloo</t>
        </is>
      </c>
      <c r="O80" s="2" t="b">
        <v>0</v>
      </c>
    </row>
    <row r="81">
      <c r="A81" s="40" t="inlineStr">
        <is>
          <t>Salon Care By Tina</t>
        </is>
      </c>
      <c r="B81" s="40" t="inlineStr">
        <is>
          <t>joanncatina@yahoo.com</t>
        </is>
      </c>
      <c r="C81" s="40" t="inlineStr">
        <is>
          <t>2026-04</t>
        </is>
      </c>
      <c r="D81" s="41" t="n">
        <v>46128</v>
      </c>
      <c r="E81" s="41" t="n"/>
      <c r="F81" s="40" t="n"/>
      <c r="G81" s="40" t="b">
        <v>0</v>
      </c>
      <c r="H81" s="40" t="b">
        <v>0</v>
      </c>
      <c r="I81" s="40" t="n">
        <v>0</v>
      </c>
      <c r="J81" s="40" t="n">
        <v>0</v>
      </c>
      <c r="K81" s="41" t="n"/>
      <c r="L81" s="42" t="n">
        <v>0</v>
      </c>
      <c r="M81" s="40" t="inlineStr">
        <is>
          <t>Never onboarded</t>
        </is>
      </c>
      <c r="N81" s="43" t="inlineStr">
        <is>
          <t>Zoca &lt;&gt;&lt;&gt;Tina</t>
        </is>
      </c>
      <c r="O81" s="2" t="b">
        <v>0</v>
      </c>
    </row>
    <row r="82">
      <c r="A82" s="40" t="inlineStr">
        <is>
          <t>D'Venus Spa</t>
        </is>
      </c>
      <c r="B82" s="40" t="inlineStr">
        <is>
          <t>meredithaugustine@yahoo.com</t>
        </is>
      </c>
      <c r="C82" s="40" t="inlineStr">
        <is>
          <t>2026-04</t>
        </is>
      </c>
      <c r="D82" s="41" t="n">
        <v>46141</v>
      </c>
      <c r="E82" s="41" t="n"/>
      <c r="F82" s="40" t="n"/>
      <c r="G82" s="40" t="b">
        <v>0</v>
      </c>
      <c r="H82" s="40" t="b">
        <v>0</v>
      </c>
      <c r="I82" s="40" t="n">
        <v>0</v>
      </c>
      <c r="J82" s="40" t="n">
        <v>0</v>
      </c>
      <c r="K82" s="41" t="n"/>
      <c r="L82" s="42" t="n">
        <v>0</v>
      </c>
      <c r="M82" s="40" t="inlineStr">
        <is>
          <t>Never onboarded</t>
        </is>
      </c>
      <c r="N82" s="43" t="inlineStr">
        <is>
          <t>D'Venus Spa &lt;&gt; Zoca (Win Agent)</t>
        </is>
      </c>
      <c r="O82" s="2" t="b">
        <v>0</v>
      </c>
    </row>
    <row r="83">
      <c r="A83" s="40" t="inlineStr">
        <is>
          <t>Nex Med Aesthetics</t>
        </is>
      </c>
      <c r="B83" s="40" t="inlineStr">
        <is>
          <t>info@nexmedaesthetics.com</t>
        </is>
      </c>
      <c r="C83" s="40" t="inlineStr">
        <is>
          <t>2026-04</t>
        </is>
      </c>
      <c r="D83" s="41" t="n">
        <v>46128</v>
      </c>
      <c r="E83" s="41" t="n"/>
      <c r="F83" s="40" t="n"/>
      <c r="G83" s="40" t="b">
        <v>0</v>
      </c>
      <c r="H83" s="40" t="b">
        <v>0</v>
      </c>
      <c r="I83" s="40" t="n">
        <v>0</v>
      </c>
      <c r="J83" s="40" t="n">
        <v>0</v>
      </c>
      <c r="K83" s="41" t="n"/>
      <c r="L83" s="42" t="n">
        <v>0</v>
      </c>
      <c r="M83" s="40" t="inlineStr">
        <is>
          <t>Never onboarded</t>
        </is>
      </c>
      <c r="N83" s="43" t="inlineStr">
        <is>
          <t>Nex Med Aesthetics | Check in</t>
        </is>
      </c>
      <c r="O83" s="2" t="b">
        <v>1</v>
      </c>
    </row>
    <row r="84">
      <c r="A84" s="40" t="inlineStr">
        <is>
          <t>The Wax Place</t>
        </is>
      </c>
      <c r="B84" s="40" t="inlineStr">
        <is>
          <t>ginatibbs@gmail.com</t>
        </is>
      </c>
      <c r="C84" s="40" t="inlineStr">
        <is>
          <t>2026-04</t>
        </is>
      </c>
      <c r="D84" s="41" t="n">
        <v>46127</v>
      </c>
      <c r="E84" s="41" t="n"/>
      <c r="F84" s="40" t="n"/>
      <c r="G84" s="40" t="b">
        <v>0</v>
      </c>
      <c r="H84" s="40" t="b">
        <v>0</v>
      </c>
      <c r="I84" s="40" t="n">
        <v>0</v>
      </c>
      <c r="J84" s="40" t="n">
        <v>0</v>
      </c>
      <c r="K84" s="41" t="n"/>
      <c r="L84" s="42" t="n">
        <v>0</v>
      </c>
      <c r="M84" s="40" t="inlineStr">
        <is>
          <t>Never onboarded</t>
        </is>
      </c>
      <c r="N84" s="43" t="inlineStr">
        <is>
          <t>Anu &amp; Gina Catchup</t>
        </is>
      </c>
      <c r="O84" s="2" t="b">
        <v>1</v>
      </c>
    </row>
    <row r="85">
      <c r="A85" s="12" t="inlineStr">
        <is>
          <t>JL Studio</t>
        </is>
      </c>
      <c r="B85" s="12" t="inlineStr">
        <is>
          <t>jackie.leveille@gmail.com</t>
        </is>
      </c>
      <c r="C85" s="12" t="inlineStr">
        <is>
          <t>2026-04</t>
        </is>
      </c>
      <c r="D85" s="29" t="n">
        <v>46126</v>
      </c>
      <c r="E85" s="29" t="n">
        <v>46156</v>
      </c>
      <c r="F85" s="12" t="n">
        <v>30</v>
      </c>
      <c r="G85" s="12" t="b">
        <v>0</v>
      </c>
      <c r="H85" s="12" t="b">
        <v>0</v>
      </c>
      <c r="I85" s="12" t="n">
        <v>0</v>
      </c>
      <c r="J85" s="12" t="n">
        <v>0</v>
      </c>
      <c r="K85" s="29" t="n"/>
      <c r="L85" s="30" t="n">
        <v>0</v>
      </c>
      <c r="M85" s="12" t="inlineStr">
        <is>
          <t>Onboarded, not enabled</t>
        </is>
      </c>
      <c r="N85" s="14" t="inlineStr">
        <is>
          <t>jackie &lt;&gt; Zoca</t>
        </is>
      </c>
      <c r="O85" s="2" t="b">
        <v>1</v>
      </c>
    </row>
    <row r="86">
      <c r="A86" s="40" t="inlineStr">
        <is>
          <t>Planet Color Hair Salon</t>
        </is>
      </c>
      <c r="B86" s="40" t="inlineStr">
        <is>
          <t>eric@wwbe.us</t>
        </is>
      </c>
      <c r="C86" s="40" t="inlineStr">
        <is>
          <t>2026-04</t>
        </is>
      </c>
      <c r="D86" s="41" t="n">
        <v>46122</v>
      </c>
      <c r="E86" s="41" t="n"/>
      <c r="F86" s="40" t="n"/>
      <c r="G86" s="40" t="b">
        <v>0</v>
      </c>
      <c r="H86" s="40" t="b">
        <v>0</v>
      </c>
      <c r="I86" s="40" t="n">
        <v>0</v>
      </c>
      <c r="J86" s="40" t="n">
        <v>0</v>
      </c>
      <c r="K86" s="41" t="n"/>
      <c r="L86" s="42" t="n">
        <v>0</v>
      </c>
      <c r="M86" s="40" t="inlineStr">
        <is>
          <t>Never onboarded</t>
        </is>
      </c>
      <c r="N86" s="43" t="inlineStr">
        <is>
          <t>Zoca &lt;&gt; Eric</t>
        </is>
      </c>
      <c r="O86" s="2" t="b">
        <v>1</v>
      </c>
    </row>
    <row r="87">
      <c r="A87" s="40" t="inlineStr">
        <is>
          <t>NewYou Skin and Body Med Spa</t>
        </is>
      </c>
      <c r="B87" s="40" t="inlineStr">
        <is>
          <t>jennifernguyen10884@gmail.com</t>
        </is>
      </c>
      <c r="C87" s="40" t="inlineStr">
        <is>
          <t>2026-04</t>
        </is>
      </c>
      <c r="D87" s="41" t="n">
        <v>46113</v>
      </c>
      <c r="E87" s="41" t="n"/>
      <c r="F87" s="40" t="n"/>
      <c r="G87" s="40" t="b">
        <v>0</v>
      </c>
      <c r="H87" s="40" t="b">
        <v>0</v>
      </c>
      <c r="I87" s="40" t="n">
        <v>0</v>
      </c>
      <c r="J87" s="40" t="n">
        <v>0</v>
      </c>
      <c r="K87" s="41" t="n"/>
      <c r="L87" s="42" t="n">
        <v>0</v>
      </c>
      <c r="M87" s="40" t="inlineStr">
        <is>
          <t>Never onboarded</t>
        </is>
      </c>
      <c r="N87" s="43" t="inlineStr">
        <is>
          <t>NewYou Skin and Body Med Spa X Zoca | Check I</t>
        </is>
      </c>
      <c r="O87" s="2" t="b">
        <v>1</v>
      </c>
    </row>
    <row r="88">
      <c r="A88" s="12" t="inlineStr">
        <is>
          <t>Dash Hair &amp; Company, LLC</t>
        </is>
      </c>
      <c r="B88" s="12" t="inlineStr">
        <is>
          <t>ellistatamiatta@gmail.com</t>
        </is>
      </c>
      <c r="C88" s="12" t="inlineStr">
        <is>
          <t>2026-04</t>
        </is>
      </c>
      <c r="D88" s="29" t="n">
        <v>46140</v>
      </c>
      <c r="E88" s="29" t="n">
        <v>46237</v>
      </c>
      <c r="F88" s="12" t="n">
        <v>97</v>
      </c>
      <c r="G88" s="12" t="b">
        <v>0</v>
      </c>
      <c r="H88" s="12" t="b">
        <v>0</v>
      </c>
      <c r="I88" s="12" t="n">
        <v>0</v>
      </c>
      <c r="J88" s="12" t="n">
        <v>0</v>
      </c>
      <c r="K88" s="29" t="n"/>
      <c r="L88" s="30" t="n">
        <v>0</v>
      </c>
      <c r="M88" s="12" t="inlineStr">
        <is>
          <t>Onboarded, not enabled</t>
        </is>
      </c>
      <c r="N88" s="14" t="inlineStr">
        <is>
          <t>Zoca Check In &lt;&gt; Dash Hair &amp; Company</t>
        </is>
      </c>
      <c r="O88" s="2" t="b">
        <v>1</v>
      </c>
    </row>
    <row r="89">
      <c r="A89" s="40" t="inlineStr">
        <is>
          <t>Skinsation Medspa</t>
        </is>
      </c>
      <c r="B89" s="40" t="inlineStr">
        <is>
          <t>sharmeeng@gmail.com</t>
        </is>
      </c>
      <c r="C89" s="40" t="inlineStr">
        <is>
          <t>2026-04</t>
        </is>
      </c>
      <c r="D89" s="41" t="n">
        <v>46113</v>
      </c>
      <c r="E89" s="41" t="n"/>
      <c r="F89" s="40" t="n"/>
      <c r="G89" s="40" t="b">
        <v>0</v>
      </c>
      <c r="H89" s="40" t="b">
        <v>0</v>
      </c>
      <c r="I89" s="40" t="n">
        <v>0</v>
      </c>
      <c r="J89" s="40" t="n">
        <v>0</v>
      </c>
      <c r="K89" s="41" t="n"/>
      <c r="L89" s="42" t="n">
        <v>0</v>
      </c>
      <c r="M89" s="40" t="inlineStr">
        <is>
          <t>Never onboarded</t>
        </is>
      </c>
      <c r="N89" s="43" t="inlineStr">
        <is>
          <t>Catchup with Sharmin</t>
        </is>
      </c>
      <c r="O89" s="2" t="b">
        <v>1</v>
      </c>
    </row>
    <row r="90">
      <c r="A90" s="40" t="inlineStr">
        <is>
          <t>Sole Pilates</t>
        </is>
      </c>
      <c r="B90" s="40" t="inlineStr">
        <is>
          <t>spmaxxformer@gmail.com</t>
        </is>
      </c>
      <c r="C90" s="40" t="inlineStr">
        <is>
          <t>2026-04</t>
        </is>
      </c>
      <c r="D90" s="41" t="n">
        <v>46125</v>
      </c>
      <c r="E90" s="41" t="n"/>
      <c r="F90" s="40" t="n"/>
      <c r="G90" s="40" t="b">
        <v>0</v>
      </c>
      <c r="H90" s="40" t="b">
        <v>0</v>
      </c>
      <c r="I90" s="40" t="n">
        <v>0</v>
      </c>
      <c r="J90" s="40" t="n">
        <v>0</v>
      </c>
      <c r="K90" s="41" t="n"/>
      <c r="L90" s="42" t="n">
        <v>0</v>
      </c>
      <c r="M90" s="40" t="inlineStr">
        <is>
          <t>Never onboarded</t>
        </is>
      </c>
      <c r="N90" s="43" t="inlineStr">
        <is>
          <t>Sole Pilates X Zoca | Check In April</t>
        </is>
      </c>
      <c r="O90" s="2" t="b">
        <v>1</v>
      </c>
    </row>
    <row r="91">
      <c r="A91" s="40" t="inlineStr">
        <is>
          <t>Skin by Nesrin</t>
        </is>
      </c>
      <c r="B91" s="40" t="inlineStr">
        <is>
          <t>skinbynesrin@gmail.com</t>
        </is>
      </c>
      <c r="C91" s="40" t="inlineStr">
        <is>
          <t>2026-04</t>
        </is>
      </c>
      <c r="D91" s="41" t="n">
        <v>46133</v>
      </c>
      <c r="E91" s="41" t="n"/>
      <c r="F91" s="40" t="n"/>
      <c r="G91" s="40" t="b">
        <v>0</v>
      </c>
      <c r="H91" s="40" t="b">
        <v>0</v>
      </c>
      <c r="I91" s="40" t="n">
        <v>0</v>
      </c>
      <c r="J91" s="40" t="n">
        <v>0</v>
      </c>
      <c r="K91" s="41" t="n"/>
      <c r="L91" s="42" t="n">
        <v>0</v>
      </c>
      <c r="M91" s="40" t="inlineStr">
        <is>
          <t>Never onboarded</t>
        </is>
      </c>
      <c r="N91" s="43" t="inlineStr">
        <is>
          <t>Skin by Nesrin X Zoca | Check In April</t>
        </is>
      </c>
      <c r="O91" s="2" t="b">
        <v>1</v>
      </c>
    </row>
    <row r="92">
      <c r="A92" s="40" t="inlineStr">
        <is>
          <t>The Nail Bar</t>
        </is>
      </c>
      <c r="B92" s="40" t="inlineStr">
        <is>
          <t>robertgadimian@gmail.com</t>
        </is>
      </c>
      <c r="C92" s="40" t="inlineStr">
        <is>
          <t>2026-04</t>
        </is>
      </c>
      <c r="D92" s="41" t="n">
        <v>46118</v>
      </c>
      <c r="E92" s="41" t="n"/>
      <c r="F92" s="40" t="n"/>
      <c r="G92" s="40" t="b">
        <v>0</v>
      </c>
      <c r="H92" s="40" t="b">
        <v>0</v>
      </c>
      <c r="I92" s="40" t="n">
        <v>0</v>
      </c>
      <c r="J92" s="40" t="n">
        <v>0</v>
      </c>
      <c r="K92" s="41" t="n"/>
      <c r="L92" s="42" t="n">
        <v>0</v>
      </c>
      <c r="M92" s="40" t="inlineStr">
        <is>
          <t>Never onboarded</t>
        </is>
      </c>
      <c r="N92" s="43" t="inlineStr">
        <is>
          <t>Zoca &lt;&gt;The Nail Bar&lt;&gt;Robert</t>
        </is>
      </c>
      <c r="O92" s="2" t="b">
        <v>1</v>
      </c>
    </row>
    <row r="93">
      <c r="A93" s="36" t="inlineStr">
        <is>
          <t>SUR MedSpa (Medical Spa) - Marietta, GA</t>
        </is>
      </c>
      <c r="B93" s="36" t="inlineStr">
        <is>
          <t>admin@surmedspa.com</t>
        </is>
      </c>
      <c r="C93" s="36" t="inlineStr">
        <is>
          <t>2026-05</t>
        </is>
      </c>
      <c r="D93" s="37" t="n">
        <v>46167</v>
      </c>
      <c r="E93" s="37" t="n">
        <v>46182</v>
      </c>
      <c r="F93" s="36" t="n">
        <v>15</v>
      </c>
      <c r="G93" s="36" t="b">
        <v>1</v>
      </c>
      <c r="H93" s="36" t="b">
        <v>1</v>
      </c>
      <c r="I93" s="36" t="n">
        <v>32</v>
      </c>
      <c r="J93" s="36" t="n">
        <v>32</v>
      </c>
      <c r="K93" s="37" t="n">
        <v>46237</v>
      </c>
      <c r="L93" s="38" t="n">
        <v>0</v>
      </c>
      <c r="M93" s="36" t="inlineStr">
        <is>
          <t>Booking</t>
        </is>
      </c>
      <c r="N93" s="39" t="inlineStr">
        <is>
          <t>SUR MedSpa &lt;&gt; Zoca</t>
        </is>
      </c>
      <c r="O93" s="2" t="b">
        <v>1</v>
      </c>
    </row>
    <row r="94">
      <c r="A94" s="40" t="inlineStr">
        <is>
          <t>Bryant Salon &amp; Spa</t>
        </is>
      </c>
      <c r="B94" s="40" t="inlineStr">
        <is>
          <t>bryantsalonandspa@gmail.com</t>
        </is>
      </c>
      <c r="C94" s="40" t="inlineStr">
        <is>
          <t>2026-05</t>
        </is>
      </c>
      <c r="D94" s="41" t="n">
        <v>46147</v>
      </c>
      <c r="E94" s="41" t="n"/>
      <c r="F94" s="40" t="n"/>
      <c r="G94" s="40" t="b">
        <v>0</v>
      </c>
      <c r="H94" s="40" t="b">
        <v>0</v>
      </c>
      <c r="I94" s="40" t="n">
        <v>0</v>
      </c>
      <c r="J94" s="40" t="n">
        <v>0</v>
      </c>
      <c r="K94" s="41" t="n"/>
      <c r="L94" s="42" t="n">
        <v>0</v>
      </c>
      <c r="M94" s="40" t="inlineStr">
        <is>
          <t>Never onboarded</t>
        </is>
      </c>
      <c r="N94" s="43" t="inlineStr">
        <is>
          <t>Bryant Salon &amp; Spa X Zoca | Check In May</t>
        </is>
      </c>
      <c r="O94" s="2" t="b">
        <v>1</v>
      </c>
    </row>
    <row r="95">
      <c r="A95" s="40" t="inlineStr">
        <is>
          <t>Aliana Salon</t>
        </is>
      </c>
      <c r="B95" s="40" t="inlineStr">
        <is>
          <t>irfan.allana@gmail.com</t>
        </is>
      </c>
      <c r="C95" s="40" t="inlineStr">
        <is>
          <t>2026-05</t>
        </is>
      </c>
      <c r="D95" s="41" t="n">
        <v>46161</v>
      </c>
      <c r="E95" s="41" t="n"/>
      <c r="F95" s="40" t="n"/>
      <c r="G95" s="40" t="b">
        <v>0</v>
      </c>
      <c r="H95" s="40" t="b">
        <v>0</v>
      </c>
      <c r="I95" s="40" t="n">
        <v>0</v>
      </c>
      <c r="J95" s="40" t="n">
        <v>0</v>
      </c>
      <c r="K95" s="41" t="n"/>
      <c r="L95" s="42" t="n">
        <v>0</v>
      </c>
      <c r="M95" s="40" t="inlineStr">
        <is>
          <t>Never onboarded</t>
        </is>
      </c>
      <c r="N95" s="43" t="inlineStr">
        <is>
          <t>Aliana Salon &lt;&gt; Zoca</t>
        </is>
      </c>
      <c r="O95" s="2" t="b">
        <v>1</v>
      </c>
    </row>
    <row r="96">
      <c r="A96" s="40" t="inlineStr">
        <is>
          <t>Salt For Your Soul</t>
        </is>
      </c>
      <c r="B96" s="40" t="inlineStr">
        <is>
          <t>shaunathale@gmail.com</t>
        </is>
      </c>
      <c r="C96" s="40" t="inlineStr">
        <is>
          <t>2026-05</t>
        </is>
      </c>
      <c r="D96" s="41" t="n">
        <v>46148</v>
      </c>
      <c r="E96" s="41" t="n"/>
      <c r="F96" s="40" t="n"/>
      <c r="G96" s="40" t="b">
        <v>0</v>
      </c>
      <c r="H96" s="40" t="b">
        <v>0</v>
      </c>
      <c r="I96" s="40" t="n">
        <v>0</v>
      </c>
      <c r="J96" s="40" t="n">
        <v>0</v>
      </c>
      <c r="K96" s="41" t="n"/>
      <c r="L96" s="42" t="n">
        <v>0</v>
      </c>
      <c r="M96" s="40" t="inlineStr">
        <is>
          <t>Never onboarded</t>
        </is>
      </c>
      <c r="N96" s="43" t="inlineStr">
        <is>
          <t>Anu &amp; Shauna</t>
        </is>
      </c>
      <c r="O96" s="2" t="b">
        <v>1</v>
      </c>
    </row>
    <row r="97">
      <c r="A97" s="12" t="inlineStr">
        <is>
          <t>Hairbygino</t>
        </is>
      </c>
      <c r="B97" s="12" t="inlineStr">
        <is>
          <t>ginomagnarelli@gmail.com</t>
        </is>
      </c>
      <c r="C97" s="12" t="inlineStr">
        <is>
          <t>2026-05</t>
        </is>
      </c>
      <c r="D97" s="29" t="n">
        <v>46153</v>
      </c>
      <c r="E97" s="29" t="n">
        <v>46225</v>
      </c>
      <c r="F97" s="12" t="n">
        <v>72</v>
      </c>
      <c r="G97" s="12" t="b">
        <v>1</v>
      </c>
      <c r="H97" s="12" t="b">
        <v>0</v>
      </c>
      <c r="I97" s="12" t="n">
        <v>0</v>
      </c>
      <c r="J97" s="12" t="n">
        <v>0</v>
      </c>
      <c r="K97" s="29" t="n"/>
      <c r="L97" s="30" t="n">
        <v>0</v>
      </c>
      <c r="M97" s="12" t="inlineStr">
        <is>
          <t>Enabled, no bookings</t>
        </is>
      </c>
      <c r="N97" s="14" t="inlineStr">
        <is>
          <t>Hairbygino X Zoca | Check In May</t>
        </is>
      </c>
      <c r="O97" s="2" t="b">
        <v>1</v>
      </c>
    </row>
    <row r="98">
      <c r="A98" s="40" t="inlineStr">
        <is>
          <t>Le Chic Hair Studio</t>
        </is>
      </c>
      <c r="B98" s="40" t="inlineStr">
        <is>
          <t>1332lchs@gmail.com</t>
        </is>
      </c>
      <c r="C98" s="40" t="inlineStr">
        <is>
          <t>2026-05</t>
        </is>
      </c>
      <c r="D98" s="41" t="n">
        <v>46161</v>
      </c>
      <c r="E98" s="41" t="n"/>
      <c r="F98" s="40" t="n"/>
      <c r="G98" s="40" t="b">
        <v>0</v>
      </c>
      <c r="H98" s="40" t="b">
        <v>0</v>
      </c>
      <c r="I98" s="40" t="n">
        <v>0</v>
      </c>
      <c r="J98" s="40" t="n">
        <v>0</v>
      </c>
      <c r="K98" s="41" t="n"/>
      <c r="L98" s="42" t="n">
        <v>0</v>
      </c>
      <c r="M98" s="40" t="inlineStr">
        <is>
          <t>Never onboarded</t>
        </is>
      </c>
      <c r="N98" s="43" t="inlineStr">
        <is>
          <t>Le Chic Hair Studio X Zoca | Check In May</t>
        </is>
      </c>
      <c r="O98" s="2" t="b">
        <v>0</v>
      </c>
    </row>
    <row r="99">
      <c r="A99" s="40" t="inlineStr">
        <is>
          <t>Blue Birdie Beauty</t>
        </is>
      </c>
      <c r="B99" s="40" t="inlineStr">
        <is>
          <t>bluebirdiebeauty@gmail.com</t>
        </is>
      </c>
      <c r="C99" s="40" t="inlineStr">
        <is>
          <t>2026-05</t>
        </is>
      </c>
      <c r="D99" s="41" t="n">
        <v>46148</v>
      </c>
      <c r="E99" s="41" t="n"/>
      <c r="F99" s="40" t="n"/>
      <c r="G99" s="40" t="b">
        <v>0</v>
      </c>
      <c r="H99" s="40" t="b">
        <v>0</v>
      </c>
      <c r="I99" s="40" t="n">
        <v>0</v>
      </c>
      <c r="J99" s="40" t="n">
        <v>0</v>
      </c>
      <c r="K99" s="41" t="n"/>
      <c r="L99" s="42" t="n">
        <v>0</v>
      </c>
      <c r="M99" s="40" t="inlineStr">
        <is>
          <t>Never onboarded</t>
        </is>
      </c>
      <c r="N99" s="43" t="inlineStr">
        <is>
          <t>Blue Birdie Beauty X Zoca | Check In May</t>
        </is>
      </c>
      <c r="O99" s="2" t="b">
        <v>1</v>
      </c>
    </row>
    <row r="100">
      <c r="A100" s="36" t="inlineStr">
        <is>
          <t>Korean Massage by Maya</t>
        </is>
      </c>
      <c r="B100" s="36" t="inlineStr">
        <is>
          <t>koreanmassagebymaya@gmail.com</t>
        </is>
      </c>
      <c r="C100" s="36" t="inlineStr">
        <is>
          <t>2026-06</t>
        </is>
      </c>
      <c r="D100" s="37" t="n">
        <v>46189</v>
      </c>
      <c r="E100" s="37" t="n">
        <v>46224</v>
      </c>
      <c r="F100" s="36" t="n">
        <v>35</v>
      </c>
      <c r="G100" s="36" t="b">
        <v>1</v>
      </c>
      <c r="H100" s="36" t="b">
        <v>0</v>
      </c>
      <c r="I100" s="36" t="n">
        <v>60</v>
      </c>
      <c r="J100" s="36" t="n">
        <v>2</v>
      </c>
      <c r="K100" s="37" t="n">
        <v>46237</v>
      </c>
      <c r="L100" s="38" t="n">
        <v>0</v>
      </c>
      <c r="M100" s="36" t="inlineStr">
        <is>
          <t>Booking</t>
        </is>
      </c>
      <c r="N100" s="39" t="inlineStr">
        <is>
          <t>Korean Massage by Maya X Zoca | Check In June</t>
        </is>
      </c>
      <c r="O100" s="2" t="b">
        <v>1</v>
      </c>
    </row>
    <row r="101">
      <c r="A101" s="36" t="inlineStr">
        <is>
          <t>Just Because Hair Therapy Salon</t>
        </is>
      </c>
      <c r="B101" s="36" t="inlineStr">
        <is>
          <t>justbecausesalon@me.com</t>
        </is>
      </c>
      <c r="C101" s="36" t="inlineStr">
        <is>
          <t>2026-06</t>
        </is>
      </c>
      <c r="D101" s="37" t="n">
        <v>46191</v>
      </c>
      <c r="E101" s="37" t="n">
        <v>46210</v>
      </c>
      <c r="F101" s="36" t="n">
        <v>19</v>
      </c>
      <c r="G101" s="36" t="b">
        <v>1</v>
      </c>
      <c r="H101" s="36" t="b">
        <v>1</v>
      </c>
      <c r="I101" s="36" t="n">
        <v>15</v>
      </c>
      <c r="J101" s="36" t="n">
        <v>6</v>
      </c>
      <c r="K101" s="37" t="n">
        <v>46234</v>
      </c>
      <c r="L101" s="38" t="n">
        <v>768.92</v>
      </c>
      <c r="M101" s="36" t="inlineStr">
        <is>
          <t>Booking</t>
        </is>
      </c>
      <c r="N101" s="39" t="inlineStr">
        <is>
          <t>Just Because Hair Therapy Salon X Zoca | Chec</t>
        </is>
      </c>
      <c r="O101" s="2" t="b">
        <v>1</v>
      </c>
    </row>
    <row r="102">
      <c r="A102" s="36" t="inlineStr">
        <is>
          <t>Forever Balanced Massage</t>
        </is>
      </c>
      <c r="B102" s="36" t="inlineStr">
        <is>
          <t>darrinlane0@gmail.com</t>
        </is>
      </c>
      <c r="C102" s="36" t="inlineStr">
        <is>
          <t>2026-06</t>
        </is>
      </c>
      <c r="D102" s="37" t="n">
        <v>46184</v>
      </c>
      <c r="E102" s="37" t="n">
        <v>46210</v>
      </c>
      <c r="F102" s="36" t="n">
        <v>26</v>
      </c>
      <c r="G102" s="36" t="b">
        <v>1</v>
      </c>
      <c r="H102" s="36" t="b">
        <v>0</v>
      </c>
      <c r="I102" s="36" t="n">
        <v>14</v>
      </c>
      <c r="J102" s="36" t="n">
        <v>7</v>
      </c>
      <c r="K102" s="37" t="n">
        <v>46237</v>
      </c>
      <c r="L102" s="38" t="n">
        <v>0</v>
      </c>
      <c r="M102" s="36" t="inlineStr">
        <is>
          <t>Booking</t>
        </is>
      </c>
      <c r="N102" s="39" t="inlineStr">
        <is>
          <t>Forever Balanced Massage X Zoca | Check In Ju</t>
        </is>
      </c>
      <c r="O102" s="2" t="b">
        <v>1</v>
      </c>
    </row>
    <row r="103">
      <c r="A103" s="40" t="inlineStr">
        <is>
          <t>Hoboken Wellness Spa</t>
        </is>
      </c>
      <c r="B103" s="40" t="inlineStr">
        <is>
          <t>info@shascreation.com</t>
        </is>
      </c>
      <c r="C103" s="40" t="inlineStr">
        <is>
          <t>2026-06</t>
        </is>
      </c>
      <c r="D103" s="41" t="n">
        <v>46195</v>
      </c>
      <c r="E103" s="41" t="n"/>
      <c r="F103" s="40" t="n"/>
      <c r="G103" s="40" t="b">
        <v>0</v>
      </c>
      <c r="H103" s="40" t="b">
        <v>0</v>
      </c>
      <c r="I103" s="40" t="n">
        <v>0</v>
      </c>
      <c r="J103" s="40" t="n">
        <v>0</v>
      </c>
      <c r="K103" s="41" t="n"/>
      <c r="L103" s="42" t="n">
        <v>0</v>
      </c>
      <c r="M103" s="40" t="inlineStr">
        <is>
          <t>Never onboarded</t>
        </is>
      </c>
      <c r="N103" s="43" t="inlineStr">
        <is>
          <t>Hoboken Wellness Spa X Zoca | Check In June</t>
        </is>
      </c>
      <c r="O103" s="2" t="b">
        <v>1</v>
      </c>
    </row>
    <row r="104">
      <c r="A104" s="40" t="inlineStr">
        <is>
          <t>PRO ORGANIC BEAUTY SALON</t>
        </is>
      </c>
      <c r="B104" s="40" t="inlineStr">
        <is>
          <t>7matpraise@gmail.com</t>
        </is>
      </c>
      <c r="C104" s="40" t="inlineStr">
        <is>
          <t>2026-06</t>
        </is>
      </c>
      <c r="D104" s="41" t="n">
        <v>46197</v>
      </c>
      <c r="E104" s="41" t="n"/>
      <c r="F104" s="40" t="n"/>
      <c r="G104" s="40" t="b">
        <v>0</v>
      </c>
      <c r="H104" s="40" t="b">
        <v>0</v>
      </c>
      <c r="I104" s="40" t="n">
        <v>0</v>
      </c>
      <c r="J104" s="40" t="n">
        <v>0</v>
      </c>
      <c r="K104" s="41" t="n"/>
      <c r="L104" s="42" t="n">
        <v>0</v>
      </c>
      <c r="M104" s="40" t="inlineStr">
        <is>
          <t>Never onboarded</t>
        </is>
      </c>
      <c r="N104" s="43" t="inlineStr">
        <is>
          <t>PRO ORGANIC BEAUTY SALON X Zoca | Check In Ju</t>
        </is>
      </c>
      <c r="O104" s="2" t="b">
        <v>1</v>
      </c>
    </row>
    <row r="105">
      <c r="A105" s="40" t="inlineStr">
        <is>
          <t>Lavish Touch Of Colors At My Salon Suites 101</t>
        </is>
      </c>
      <c r="B105" s="40" t="inlineStr">
        <is>
          <t>lavishtouchofcolors@gmail.com</t>
        </is>
      </c>
      <c r="C105" s="40" t="inlineStr">
        <is>
          <t>2026-06</t>
        </is>
      </c>
      <c r="D105" s="41" t="n">
        <v>46183</v>
      </c>
      <c r="E105" s="41" t="n"/>
      <c r="F105" s="40" t="n"/>
      <c r="G105" s="40" t="b">
        <v>0</v>
      </c>
      <c r="H105" s="40" t="b">
        <v>0</v>
      </c>
      <c r="I105" s="40" t="n">
        <v>0</v>
      </c>
      <c r="J105" s="40" t="n">
        <v>0</v>
      </c>
      <c r="K105" s="41" t="n"/>
      <c r="L105" s="42" t="n">
        <v>0</v>
      </c>
      <c r="M105" s="40" t="inlineStr">
        <is>
          <t>Never onboarded</t>
        </is>
      </c>
      <c r="N105" s="43" t="inlineStr">
        <is>
          <t>Lavish Touch Of Colors At My Salon Suites 101</t>
        </is>
      </c>
      <c r="O105" s="2" t="b">
        <v>1</v>
      </c>
    </row>
    <row r="106">
      <c r="A106" s="40" t="inlineStr">
        <is>
          <t>Retro Cuts-Kids Hair Salon &amp; Special needs friendly</t>
        </is>
      </c>
      <c r="B106" s="40" t="inlineStr">
        <is>
          <t>retrocutsllc@gmail.com</t>
        </is>
      </c>
      <c r="C106" s="40" t="inlineStr">
        <is>
          <t>2026-06</t>
        </is>
      </c>
      <c r="D106" s="41" t="n">
        <v>46184</v>
      </c>
      <c r="E106" s="41" t="n"/>
      <c r="F106" s="40" t="n"/>
      <c r="G106" s="40" t="b">
        <v>0</v>
      </c>
      <c r="H106" s="40" t="b">
        <v>0</v>
      </c>
      <c r="I106" s="40" t="n">
        <v>0</v>
      </c>
      <c r="J106" s="40" t="n">
        <v>0</v>
      </c>
      <c r="K106" s="41" t="n"/>
      <c r="L106" s="42" t="n">
        <v>0</v>
      </c>
      <c r="M106" s="40" t="inlineStr">
        <is>
          <t>Never onboarded</t>
        </is>
      </c>
      <c r="N106" s="43" t="inlineStr">
        <is>
          <t>MariaRetro CutsZoca</t>
        </is>
      </c>
      <c r="O106" s="2" t="b">
        <v>1</v>
      </c>
    </row>
    <row r="107">
      <c r="A107" s="40" t="inlineStr">
        <is>
          <t>Twists of Beauty | Esthetician</t>
        </is>
      </c>
      <c r="B107" s="40" t="inlineStr">
        <is>
          <t>triciaw92@gmail.com</t>
        </is>
      </c>
      <c r="C107" s="40" t="inlineStr">
        <is>
          <t>2026-06</t>
        </is>
      </c>
      <c r="D107" s="41" t="n">
        <v>46199</v>
      </c>
      <c r="E107" s="41" t="n"/>
      <c r="F107" s="40" t="n"/>
      <c r="G107" s="40" t="b">
        <v>0</v>
      </c>
      <c r="H107" s="40" t="b">
        <v>0</v>
      </c>
      <c r="I107" s="40" t="n">
        <v>0</v>
      </c>
      <c r="J107" s="40" t="n">
        <v>0</v>
      </c>
      <c r="K107" s="41" t="n"/>
      <c r="L107" s="42" t="n">
        <v>0</v>
      </c>
      <c r="M107" s="40" t="inlineStr">
        <is>
          <t>Never onboarded</t>
        </is>
      </c>
      <c r="N107" s="43" t="inlineStr">
        <is>
          <t xml:space="preserve">Twists of Beauty | Facials X Zoca | Check In </t>
        </is>
      </c>
      <c r="O107" s="2" t="b">
        <v>1</v>
      </c>
    </row>
    <row r="108">
      <c r="A108" s="40" t="inlineStr">
        <is>
          <t>Perma Glow Shanna</t>
        </is>
      </c>
      <c r="B108" s="40" t="inlineStr">
        <is>
          <t>permaglowshanna@gmail.com</t>
        </is>
      </c>
      <c r="C108" s="40" t="inlineStr">
        <is>
          <t>2026-06</t>
        </is>
      </c>
      <c r="D108" s="41" t="n">
        <v>46189</v>
      </c>
      <c r="E108" s="41" t="n"/>
      <c r="F108" s="40" t="n"/>
      <c r="G108" s="40" t="b">
        <v>0</v>
      </c>
      <c r="H108" s="40" t="b">
        <v>0</v>
      </c>
      <c r="I108" s="40" t="n">
        <v>0</v>
      </c>
      <c r="J108" s="40" t="n">
        <v>0</v>
      </c>
      <c r="K108" s="41" t="n"/>
      <c r="L108" s="42" t="n">
        <v>0</v>
      </c>
      <c r="M108" s="40" t="inlineStr">
        <is>
          <t>Never onboarded</t>
        </is>
      </c>
      <c r="N108" s="43" t="inlineStr">
        <is>
          <t>Perma Glow Shanna X Zoca | Check In June</t>
        </is>
      </c>
      <c r="O108" s="2" t="b">
        <v>1</v>
      </c>
    </row>
    <row r="109">
      <c r="A109" s="12" t="inlineStr">
        <is>
          <t>Spa Skin Well</t>
        </is>
      </c>
      <c r="B109" s="12" t="inlineStr">
        <is>
          <t>spa@shopskinwell.com</t>
        </is>
      </c>
      <c r="C109" s="12" t="inlineStr">
        <is>
          <t>2026-06</t>
        </is>
      </c>
      <c r="D109" s="29" t="n">
        <v>46202</v>
      </c>
      <c r="E109" s="29" t="n">
        <v>46218</v>
      </c>
      <c r="F109" s="12" t="n">
        <v>16</v>
      </c>
      <c r="G109" s="12" t="b">
        <v>0</v>
      </c>
      <c r="H109" s="12" t="b">
        <v>0</v>
      </c>
      <c r="I109" s="12" t="n">
        <v>0</v>
      </c>
      <c r="J109" s="12" t="n">
        <v>0</v>
      </c>
      <c r="K109" s="29" t="n"/>
      <c r="L109" s="30" t="n">
        <v>0</v>
      </c>
      <c r="M109" s="12" t="inlineStr">
        <is>
          <t>Onboarded, not enabled</t>
        </is>
      </c>
      <c r="N109" s="14" t="inlineStr">
        <is>
          <t>Zoca - Merolin-Spa Skin Well</t>
        </is>
      </c>
      <c r="O109" s="2" t="b">
        <v>1</v>
      </c>
    </row>
    <row r="110">
      <c r="A110" s="40" t="inlineStr">
        <is>
          <t>SolVita Wellness Spa</t>
        </is>
      </c>
      <c r="B110" s="40" t="inlineStr">
        <is>
          <t>spadirector@mysolvita.com</t>
        </is>
      </c>
      <c r="C110" s="40" t="inlineStr">
        <is>
          <t>2026-06</t>
        </is>
      </c>
      <c r="D110" s="41" t="n">
        <v>46195</v>
      </c>
      <c r="E110" s="41" t="n"/>
      <c r="F110" s="40" t="n"/>
      <c r="G110" s="40" t="b">
        <v>0</v>
      </c>
      <c r="H110" s="40" t="b">
        <v>0</v>
      </c>
      <c r="I110" s="40" t="n">
        <v>0</v>
      </c>
      <c r="J110" s="40" t="n">
        <v>0</v>
      </c>
      <c r="K110" s="41" t="n"/>
      <c r="L110" s="42" t="n">
        <v>0</v>
      </c>
      <c r="M110" s="40" t="inlineStr">
        <is>
          <t>Never onboarded</t>
        </is>
      </c>
      <c r="N110" s="43" t="inlineStr">
        <is>
          <t>SolvitaSolVita Wellness SpaZoca</t>
        </is>
      </c>
      <c r="O110" s="2" t="b">
        <v>1</v>
      </c>
    </row>
    <row r="111">
      <c r="A111" s="40" t="inlineStr">
        <is>
          <t>Mai’s Beauti</t>
        </is>
      </c>
      <c r="B111" s="40" t="inlineStr">
        <is>
          <t>chaubeautywork@gmail.com</t>
        </is>
      </c>
      <c r="C111" s="40" t="inlineStr">
        <is>
          <t>2026-06</t>
        </is>
      </c>
      <c r="D111" s="41" t="n">
        <v>46184</v>
      </c>
      <c r="E111" s="41" t="n"/>
      <c r="F111" s="40" t="n"/>
      <c r="G111" s="40" t="b">
        <v>0</v>
      </c>
      <c r="H111" s="40" t="b">
        <v>0</v>
      </c>
      <c r="I111" s="40" t="n">
        <v>0</v>
      </c>
      <c r="J111" s="40" t="n">
        <v>0</v>
      </c>
      <c r="K111" s="41" t="n"/>
      <c r="L111" s="42" t="n">
        <v>0</v>
      </c>
      <c r="M111" s="40" t="inlineStr">
        <is>
          <t>Never onboarded</t>
        </is>
      </c>
      <c r="N111" s="43" t="inlineStr">
        <is>
          <t>Mai's Beauti X ZOCA | Check in June</t>
        </is>
      </c>
      <c r="O111" s="2" t="b">
        <v>1</v>
      </c>
    </row>
    <row r="112">
      <c r="A112" s="40" t="inlineStr">
        <is>
          <t>Blue Vanity Salon</t>
        </is>
      </c>
      <c r="B112" s="40" t="inlineStr">
        <is>
          <t>bluevanitysalon@gmail.com</t>
        </is>
      </c>
      <c r="C112" s="40" t="inlineStr">
        <is>
          <t>2026-06</t>
        </is>
      </c>
      <c r="D112" s="41" t="n">
        <v>46199</v>
      </c>
      <c r="E112" s="41" t="n"/>
      <c r="F112" s="40" t="n"/>
      <c r="G112" s="40" t="b">
        <v>0</v>
      </c>
      <c r="H112" s="40" t="b">
        <v>0</v>
      </c>
      <c r="I112" s="40" t="n">
        <v>0</v>
      </c>
      <c r="J112" s="40" t="n">
        <v>0</v>
      </c>
      <c r="K112" s="41" t="n"/>
      <c r="L112" s="42" t="n">
        <v>0</v>
      </c>
      <c r="M112" s="40" t="inlineStr">
        <is>
          <t>Never onboarded</t>
        </is>
      </c>
      <c r="N112" s="43" t="inlineStr">
        <is>
          <t>Blue Vanity Salon X Zoca | Check In June</t>
        </is>
      </c>
      <c r="O112" s="2" t="b">
        <v>1</v>
      </c>
    </row>
    <row r="113">
      <c r="A113" s="40" t="inlineStr">
        <is>
          <t>De La Luz</t>
        </is>
      </c>
      <c r="B113" s="40" t="inlineStr">
        <is>
          <t>mariadelaluzkhachotamraz@gmail.com</t>
        </is>
      </c>
      <c r="C113" s="40" t="inlineStr">
        <is>
          <t>2026-06</t>
        </is>
      </c>
      <c r="D113" s="41" t="n">
        <v>46191</v>
      </c>
      <c r="E113" s="41" t="n"/>
      <c r="F113" s="40" t="n"/>
      <c r="G113" s="40" t="b">
        <v>0</v>
      </c>
      <c r="H113" s="40" t="b">
        <v>0</v>
      </c>
      <c r="I113" s="40" t="n">
        <v>0</v>
      </c>
      <c r="J113" s="40" t="n">
        <v>0</v>
      </c>
      <c r="K113" s="41" t="n"/>
      <c r="L113" s="42" t="n">
        <v>0</v>
      </c>
      <c r="M113" s="40" t="inlineStr">
        <is>
          <t>Never onboarded</t>
        </is>
      </c>
      <c r="N113" s="43" t="inlineStr">
        <is>
          <t>De La Luz X Zoca | Check In June</t>
        </is>
      </c>
      <c r="O113" s="2" t="b">
        <v>1</v>
      </c>
    </row>
    <row r="114">
      <c r="A114" s="40" t="inlineStr">
        <is>
          <t>Hair By Arlenia</t>
        </is>
      </c>
      <c r="B114" s="40" t="inlineStr">
        <is>
          <t>hairbyarlenia@gmail.com</t>
        </is>
      </c>
      <c r="C114" s="40" t="inlineStr">
        <is>
          <t>2026-06</t>
        </is>
      </c>
      <c r="D114" s="41" t="n">
        <v>46188</v>
      </c>
      <c r="E114" s="41" t="n"/>
      <c r="F114" s="40" t="n"/>
      <c r="G114" s="40" t="b">
        <v>0</v>
      </c>
      <c r="H114" s="40" t="b">
        <v>0</v>
      </c>
      <c r="I114" s="40" t="n">
        <v>0</v>
      </c>
      <c r="J114" s="40" t="n">
        <v>0</v>
      </c>
      <c r="K114" s="41" t="n"/>
      <c r="L114" s="42" t="n">
        <v>0</v>
      </c>
      <c r="M114" s="40" t="inlineStr">
        <is>
          <t>Never onboarded</t>
        </is>
      </c>
      <c r="N114" s="43" t="inlineStr">
        <is>
          <t>Hair By Arlenia X Zoca | Check In June</t>
        </is>
      </c>
      <c r="O114" s="2" t="b">
        <v>1</v>
      </c>
    </row>
    <row r="115">
      <c r="A115" s="40" t="inlineStr">
        <is>
          <t>Natures Wax &amp; Med Spa</t>
        </is>
      </c>
      <c r="B115" s="40" t="inlineStr">
        <is>
          <t>nwaxservice@gmail.com</t>
        </is>
      </c>
      <c r="C115" s="40" t="inlineStr">
        <is>
          <t>2026-06</t>
        </is>
      </c>
      <c r="D115" s="41" t="n">
        <v>46192</v>
      </c>
      <c r="E115" s="41" t="n"/>
      <c r="F115" s="40" t="n"/>
      <c r="G115" s="40" t="b">
        <v>0</v>
      </c>
      <c r="H115" s="40" t="b">
        <v>0</v>
      </c>
      <c r="I115" s="40" t="n">
        <v>0</v>
      </c>
      <c r="J115" s="40" t="n">
        <v>0</v>
      </c>
      <c r="K115" s="41" t="n"/>
      <c r="L115" s="42" t="n">
        <v>0</v>
      </c>
      <c r="M115" s="40" t="inlineStr">
        <is>
          <t>Never onboarded</t>
        </is>
      </c>
      <c r="N115" s="43" t="inlineStr">
        <is>
          <t>Zoca &lt;&gt; Nature’s Wax &amp; Med Spa</t>
        </is>
      </c>
      <c r="O115" s="2" t="b">
        <v>1</v>
      </c>
    </row>
    <row r="116">
      <c r="A116" s="40" t="inlineStr">
        <is>
          <t>Facial Skin Lab</t>
        </is>
      </c>
      <c r="B116" s="40" t="inlineStr">
        <is>
          <t>mcbh58@gmail.com</t>
        </is>
      </c>
      <c r="C116" s="40" t="inlineStr">
        <is>
          <t>2026-06</t>
        </is>
      </c>
      <c r="D116" s="41" t="n">
        <v>46202</v>
      </c>
      <c r="E116" s="41" t="n"/>
      <c r="F116" s="40" t="n"/>
      <c r="G116" s="40" t="b">
        <v>0</v>
      </c>
      <c r="H116" s="40" t="b">
        <v>0</v>
      </c>
      <c r="I116" s="40" t="n">
        <v>0</v>
      </c>
      <c r="J116" s="40" t="n">
        <v>0</v>
      </c>
      <c r="K116" s="41" t="n"/>
      <c r="L116" s="42" t="n">
        <v>0</v>
      </c>
      <c r="M116" s="40" t="inlineStr">
        <is>
          <t>Never onboarded</t>
        </is>
      </c>
      <c r="N116" s="43" t="inlineStr">
        <is>
          <t>Facial Skin Lab X Zoca | Check In June</t>
        </is>
      </c>
      <c r="O116" s="2" t="b">
        <v>1</v>
      </c>
    </row>
    <row r="117">
      <c r="A117" s="40" t="inlineStr">
        <is>
          <t>Kitty Sugaring</t>
        </is>
      </c>
      <c r="B117" s="40" t="inlineStr">
        <is>
          <t>pmg090540@gmail.com</t>
        </is>
      </c>
      <c r="C117" s="40" t="inlineStr">
        <is>
          <t>2026-06</t>
        </is>
      </c>
      <c r="D117" s="41" t="n">
        <v>46198</v>
      </c>
      <c r="E117" s="41" t="n"/>
      <c r="F117" s="40" t="n"/>
      <c r="G117" s="40" t="b">
        <v>0</v>
      </c>
      <c r="H117" s="40" t="b">
        <v>0</v>
      </c>
      <c r="I117" s="40" t="n">
        <v>0</v>
      </c>
      <c r="J117" s="40" t="n">
        <v>0</v>
      </c>
      <c r="K117" s="41" t="n"/>
      <c r="L117" s="42" t="n">
        <v>0</v>
      </c>
      <c r="M117" s="40" t="inlineStr">
        <is>
          <t>Never onboarded</t>
        </is>
      </c>
      <c r="N117" s="43" t="inlineStr">
        <is>
          <t>Kitty Sugaring X Zoca | Check In June</t>
        </is>
      </c>
      <c r="O117" s="2" t="b">
        <v>1</v>
      </c>
    </row>
    <row r="118">
      <c r="A118" s="40" t="inlineStr">
        <is>
          <t>Pamper Me Total Beauty Spa</t>
        </is>
      </c>
      <c r="B118" s="40" t="inlineStr">
        <is>
          <t>pampermetotalbeauty@gmail.com</t>
        </is>
      </c>
      <c r="C118" s="40" t="inlineStr">
        <is>
          <t>2026-06</t>
        </is>
      </c>
      <c r="D118" s="41" t="n">
        <v>46203</v>
      </c>
      <c r="E118" s="41" t="n"/>
      <c r="F118" s="40" t="n"/>
      <c r="G118" s="40" t="b">
        <v>0</v>
      </c>
      <c r="H118" s="40" t="b">
        <v>0</v>
      </c>
      <c r="I118" s="40" t="n">
        <v>0</v>
      </c>
      <c r="J118" s="40" t="n">
        <v>0</v>
      </c>
      <c r="K118" s="41" t="n"/>
      <c r="L118" s="42" t="n">
        <v>0</v>
      </c>
      <c r="M118" s="40" t="inlineStr">
        <is>
          <t>Never onboarded</t>
        </is>
      </c>
      <c r="N118" s="43" t="inlineStr">
        <is>
          <t>ZOCA &lt;&gt; Pamper Me Total Beauty Spa</t>
        </is>
      </c>
      <c r="O118" s="2" t="b">
        <v>1</v>
      </c>
    </row>
    <row r="119">
      <c r="A119" s="40" t="inlineStr">
        <is>
          <t>Vanity Salon and Color Bar</t>
        </is>
      </c>
      <c r="B119" s="40" t="inlineStr">
        <is>
          <t>arthomp3@gmail.com</t>
        </is>
      </c>
      <c r="C119" s="40" t="inlineStr">
        <is>
          <t>2026-06</t>
        </is>
      </c>
      <c r="D119" s="41" t="n">
        <v>46183</v>
      </c>
      <c r="E119" s="41" t="n"/>
      <c r="F119" s="40" t="n"/>
      <c r="G119" s="40" t="b">
        <v>0</v>
      </c>
      <c r="H119" s="40" t="b">
        <v>0</v>
      </c>
      <c r="I119" s="40" t="n">
        <v>0</v>
      </c>
      <c r="J119" s="40" t="n">
        <v>0</v>
      </c>
      <c r="K119" s="41" t="n"/>
      <c r="L119" s="42" t="n">
        <v>0</v>
      </c>
      <c r="M119" s="40" t="inlineStr">
        <is>
          <t>Never onboarded</t>
        </is>
      </c>
      <c r="N119" s="43" t="inlineStr">
        <is>
          <t xml:space="preserve">Vanity Salon and Color Bar X Zoca | Check In </t>
        </is>
      </c>
      <c r="O119" s="2" t="b">
        <v>1</v>
      </c>
    </row>
    <row r="120">
      <c r="A120" s="40" t="inlineStr">
        <is>
          <t>Satori Holistic Massage</t>
        </is>
      </c>
      <c r="B120" s="40" t="inlineStr">
        <is>
          <t>debhpc@gmail.com</t>
        </is>
      </c>
      <c r="C120" s="40" t="inlineStr">
        <is>
          <t>2026-06</t>
        </is>
      </c>
      <c r="D120" s="41" t="n">
        <v>46188</v>
      </c>
      <c r="E120" s="41" t="n"/>
      <c r="F120" s="40" t="n"/>
      <c r="G120" s="40" t="b">
        <v>0</v>
      </c>
      <c r="H120" s="40" t="b">
        <v>0</v>
      </c>
      <c r="I120" s="40" t="n">
        <v>0</v>
      </c>
      <c r="J120" s="40" t="n">
        <v>0</v>
      </c>
      <c r="K120" s="41" t="n"/>
      <c r="L120" s="42" t="n">
        <v>0</v>
      </c>
      <c r="M120" s="40" t="inlineStr">
        <is>
          <t>Never onboarded</t>
        </is>
      </c>
      <c r="N120" s="43" t="inlineStr">
        <is>
          <t>Satori Holistic Massage- FrontDesk</t>
        </is>
      </c>
      <c r="O120" s="2" t="b">
        <v>1</v>
      </c>
    </row>
    <row r="121">
      <c r="A121" s="40" t="inlineStr">
        <is>
          <t>Virtue Massage</t>
        </is>
      </c>
      <c r="B121" s="40" t="inlineStr">
        <is>
          <t>virtuemassageop@gmail.com</t>
        </is>
      </c>
      <c r="C121" s="40" t="inlineStr">
        <is>
          <t>2026-06</t>
        </is>
      </c>
      <c r="D121" s="41" t="n">
        <v>46189</v>
      </c>
      <c r="E121" s="41" t="n"/>
      <c r="F121" s="40" t="n"/>
      <c r="G121" s="40" t="b">
        <v>0</v>
      </c>
      <c r="H121" s="40" t="b">
        <v>0</v>
      </c>
      <c r="I121" s="40" t="n">
        <v>0</v>
      </c>
      <c r="J121" s="40" t="n">
        <v>0</v>
      </c>
      <c r="K121" s="41" t="n"/>
      <c r="L121" s="42" t="n">
        <v>0</v>
      </c>
      <c r="M121" s="40" t="inlineStr">
        <is>
          <t>Never onboarded</t>
        </is>
      </c>
      <c r="N121" s="43" t="inlineStr">
        <is>
          <t>Inna x Kripali</t>
        </is>
      </c>
      <c r="O121" s="2" t="b">
        <v>1</v>
      </c>
    </row>
    <row r="122">
      <c r="A122" s="36" t="inlineStr">
        <is>
          <t>Essence Esthetics: Skin · Lashes · Brows</t>
        </is>
      </c>
      <c r="B122" s="36" t="inlineStr">
        <is>
          <t>eesthetics7@gmail.com</t>
        </is>
      </c>
      <c r="C122" s="36" t="inlineStr">
        <is>
          <t>2026-07</t>
        </is>
      </c>
      <c r="D122" s="37" t="n">
        <v>46209</v>
      </c>
      <c r="E122" s="37" t="n">
        <v>46210</v>
      </c>
      <c r="F122" s="36" t="n">
        <v>1</v>
      </c>
      <c r="G122" s="36" t="b">
        <v>1</v>
      </c>
      <c r="H122" s="36" t="b">
        <v>1</v>
      </c>
      <c r="I122" s="36" t="n">
        <v>23</v>
      </c>
      <c r="J122" s="36" t="n">
        <v>8</v>
      </c>
      <c r="K122" s="37" t="n">
        <v>46237</v>
      </c>
      <c r="L122" s="38" t="n">
        <v>1061.25</v>
      </c>
      <c r="M122" s="36" t="inlineStr">
        <is>
          <t>Booking</t>
        </is>
      </c>
      <c r="N122" s="39" t="inlineStr">
        <is>
          <t>Essence Esthetics: Skin · Lashes · Brows X Zo</t>
        </is>
      </c>
      <c r="O122" s="2" t="b">
        <v>1</v>
      </c>
    </row>
    <row r="123">
      <c r="A123" s="36" t="inlineStr">
        <is>
          <t>OPULENCE GROOMING &amp; MORE</t>
        </is>
      </c>
      <c r="B123" s="36" t="inlineStr">
        <is>
          <t>pat24cuts@gmail.com</t>
        </is>
      </c>
      <c r="C123" s="36" t="inlineStr">
        <is>
          <t>2026-07</t>
        </is>
      </c>
      <c r="D123" s="37" t="n">
        <v>46232</v>
      </c>
      <c r="E123" s="37" t="n">
        <v>46234</v>
      </c>
      <c r="F123" s="36" t="n">
        <v>2</v>
      </c>
      <c r="G123" s="36" t="b">
        <v>1</v>
      </c>
      <c r="H123" s="36" t="b">
        <v>1</v>
      </c>
      <c r="I123" s="36" t="n">
        <v>5</v>
      </c>
      <c r="J123" s="36" t="n">
        <v>1</v>
      </c>
      <c r="K123" s="37" t="n">
        <v>46237</v>
      </c>
      <c r="L123" s="38" t="n">
        <v>35</v>
      </c>
      <c r="M123" s="36" t="inlineStr">
        <is>
          <t>Booking</t>
        </is>
      </c>
      <c r="N123" s="39" t="inlineStr">
        <is>
          <t>OPULENCE GROOMING &amp; MORE X Zoca | Check In Ju</t>
        </is>
      </c>
      <c r="O123" s="2" t="b">
        <v>1</v>
      </c>
    </row>
    <row r="124">
      <c r="A124" s="36" t="inlineStr">
        <is>
          <t>Concierge Health and Wellness Massage &amp; Spa Ltd Co</t>
        </is>
      </c>
      <c r="B124" s="36" t="inlineStr">
        <is>
          <t>theconciergetherapist@gmail.com</t>
        </is>
      </c>
      <c r="C124" s="36" t="inlineStr">
        <is>
          <t>2026-07</t>
        </is>
      </c>
      <c r="D124" s="37" t="n">
        <v>46223</v>
      </c>
      <c r="E124" s="37" t="n">
        <v>46225</v>
      </c>
      <c r="F124" s="36" t="n">
        <v>2</v>
      </c>
      <c r="G124" s="36" t="b">
        <v>1</v>
      </c>
      <c r="H124" s="36" t="b">
        <v>0</v>
      </c>
      <c r="I124" s="36" t="n">
        <v>4</v>
      </c>
      <c r="J124" s="36" t="n">
        <v>4</v>
      </c>
      <c r="K124" s="37" t="n">
        <v>46235</v>
      </c>
      <c r="L124" s="38" t="n">
        <v>0</v>
      </c>
      <c r="M124" s="36" t="inlineStr">
        <is>
          <t>Booking</t>
        </is>
      </c>
      <c r="N124" s="39" t="inlineStr">
        <is>
          <t>Zoca &lt;&gt; Dr. Calvin</t>
        </is>
      </c>
      <c r="O124" s="2" t="b">
        <v>1</v>
      </c>
    </row>
    <row r="125">
      <c r="A125" s="40" t="inlineStr">
        <is>
          <t>ALISON ROESSLER FITNESS</t>
        </is>
      </c>
      <c r="B125" s="40" t="inlineStr">
        <is>
          <t>alison@truvefit.com</t>
        </is>
      </c>
      <c r="C125" s="40" t="inlineStr">
        <is>
          <t>2026-07</t>
        </is>
      </c>
      <c r="D125" s="41" t="n">
        <v>46210</v>
      </c>
      <c r="E125" s="41" t="n"/>
      <c r="F125" s="40" t="n"/>
      <c r="G125" s="40" t="b">
        <v>0</v>
      </c>
      <c r="H125" s="40" t="b">
        <v>0</v>
      </c>
      <c r="I125" s="40" t="n">
        <v>0</v>
      </c>
      <c r="J125" s="40" t="n">
        <v>0</v>
      </c>
      <c r="K125" s="41" t="n"/>
      <c r="L125" s="42" t="n">
        <v>0</v>
      </c>
      <c r="M125" s="40" t="inlineStr">
        <is>
          <t>Never onboarded</t>
        </is>
      </c>
      <c r="N125" s="43" t="inlineStr">
        <is>
          <t>Truve Fit X Zoca | Check In July</t>
        </is>
      </c>
      <c r="O125" s="2" t="b">
        <v>0</v>
      </c>
    </row>
    <row r="126">
      <c r="A126" s="40" t="inlineStr">
        <is>
          <t>Limitless Skincare &amp; Beauty LLC</t>
        </is>
      </c>
      <c r="B126" s="40" t="inlineStr">
        <is>
          <t>limitlessskincare83@gmail.com</t>
        </is>
      </c>
      <c r="C126" s="40" t="inlineStr">
        <is>
          <t>2026-07</t>
        </is>
      </c>
      <c r="D126" s="41" t="n">
        <v>46213</v>
      </c>
      <c r="E126" s="41" t="n"/>
      <c r="F126" s="40" t="n"/>
      <c r="G126" s="40" t="b">
        <v>0</v>
      </c>
      <c r="H126" s="40" t="b">
        <v>0</v>
      </c>
      <c r="I126" s="40" t="n">
        <v>0</v>
      </c>
      <c r="J126" s="40" t="n">
        <v>0</v>
      </c>
      <c r="K126" s="41" t="n"/>
      <c r="L126" s="42" t="n">
        <v>0</v>
      </c>
      <c r="M126" s="40" t="inlineStr">
        <is>
          <t>Never onboarded</t>
        </is>
      </c>
      <c r="N126" s="43" t="inlineStr">
        <is>
          <t>Limitless Skincare &amp; Beauty LLC X Zoca | Chec</t>
        </is>
      </c>
      <c r="O126" s="2" t="b">
        <v>1</v>
      </c>
    </row>
    <row r="127">
      <c r="A127" s="40" t="inlineStr">
        <is>
          <t>Lotus Beauty Collective</t>
        </is>
      </c>
      <c r="B127" s="40" t="inlineStr">
        <is>
          <t>lotusbeautycollective@gmail.com</t>
        </is>
      </c>
      <c r="C127" s="40" t="inlineStr">
        <is>
          <t>2026-07</t>
        </is>
      </c>
      <c r="D127" s="41" t="n">
        <v>46216</v>
      </c>
      <c r="E127" s="41" t="n"/>
      <c r="F127" s="40" t="n"/>
      <c r="G127" s="40" t="b">
        <v>0</v>
      </c>
      <c r="H127" s="40" t="b">
        <v>0</v>
      </c>
      <c r="I127" s="40" t="n">
        <v>0</v>
      </c>
      <c r="J127" s="40" t="n">
        <v>0</v>
      </c>
      <c r="K127" s="41" t="n"/>
      <c r="L127" s="42" t="n">
        <v>0</v>
      </c>
      <c r="M127" s="40" t="inlineStr">
        <is>
          <t>Never onboarded</t>
        </is>
      </c>
      <c r="N127" s="43" t="inlineStr">
        <is>
          <t>Lotus Beauty Collective X Zoca | Check In Jul</t>
        </is>
      </c>
      <c r="O127" s="2" t="b">
        <v>1</v>
      </c>
    </row>
    <row r="128">
      <c r="A128" s="40" t="inlineStr">
        <is>
          <t>Healing Hands By Andrea</t>
        </is>
      </c>
      <c r="B128" s="40" t="inlineStr">
        <is>
          <t>andreacoy99@gmail.com</t>
        </is>
      </c>
      <c r="C128" s="40" t="inlineStr">
        <is>
          <t>2026-07</t>
        </is>
      </c>
      <c r="D128" s="41" t="n">
        <v>46227</v>
      </c>
      <c r="E128" s="41" t="n"/>
      <c r="F128" s="40" t="n"/>
      <c r="G128" s="40" t="b">
        <v>0</v>
      </c>
      <c r="H128" s="40" t="b">
        <v>0</v>
      </c>
      <c r="I128" s="40" t="n">
        <v>0</v>
      </c>
      <c r="J128" s="40" t="n">
        <v>0</v>
      </c>
      <c r="K128" s="41" t="n"/>
      <c r="L128" s="42" t="n">
        <v>0</v>
      </c>
      <c r="M128" s="40" t="inlineStr">
        <is>
          <t>Never onboarded</t>
        </is>
      </c>
      <c r="N128" s="43" t="inlineStr">
        <is>
          <t>Healing Hands By Andrea X Zoca | Check In Jul</t>
        </is>
      </c>
      <c r="O128" s="2" t="b">
        <v>1</v>
      </c>
    </row>
    <row r="129">
      <c r="A129" s="40" t="inlineStr">
        <is>
          <t>Skinclub Wellness Center &amp; Med Spa</t>
        </is>
      </c>
      <c r="B129" s="40" t="inlineStr">
        <is>
          <t>afsoonsmith97@gmail.com</t>
        </is>
      </c>
      <c r="C129" s="40" t="inlineStr">
        <is>
          <t>2026-07</t>
        </is>
      </c>
      <c r="D129" s="41" t="n">
        <v>46220</v>
      </c>
      <c r="E129" s="41" t="n"/>
      <c r="F129" s="40" t="n"/>
      <c r="G129" s="40" t="b">
        <v>0</v>
      </c>
      <c r="H129" s="40" t="b">
        <v>0</v>
      </c>
      <c r="I129" s="40" t="n">
        <v>0</v>
      </c>
      <c r="J129" s="40" t="n">
        <v>0</v>
      </c>
      <c r="K129" s="41" t="n"/>
      <c r="L129" s="42" t="n">
        <v>0</v>
      </c>
      <c r="M129" s="40" t="inlineStr">
        <is>
          <t>Never onboarded</t>
        </is>
      </c>
      <c r="N129" s="43" t="inlineStr">
        <is>
          <t>Skinclub Wellness Center &amp; Med Spa X Zoca | C</t>
        </is>
      </c>
      <c r="O129" s="2" t="b">
        <v>0</v>
      </c>
    </row>
    <row r="130">
      <c r="A130" s="40" t="inlineStr">
        <is>
          <t>True U Aesthetics</t>
        </is>
      </c>
      <c r="B130" s="40" t="inlineStr">
        <is>
          <t>lenatrueu@gmail.com</t>
        </is>
      </c>
      <c r="C130" s="40" t="inlineStr">
        <is>
          <t>2026-07</t>
        </is>
      </c>
      <c r="D130" s="41" t="n">
        <v>46216</v>
      </c>
      <c r="E130" s="41" t="n"/>
      <c r="F130" s="40" t="n"/>
      <c r="G130" s="40" t="b">
        <v>0</v>
      </c>
      <c r="H130" s="40" t="b">
        <v>0</v>
      </c>
      <c r="I130" s="40" t="n">
        <v>0</v>
      </c>
      <c r="J130" s="40" t="n">
        <v>0</v>
      </c>
      <c r="K130" s="41" t="n"/>
      <c r="L130" s="42" t="n">
        <v>0</v>
      </c>
      <c r="M130" s="40" t="inlineStr">
        <is>
          <t>Never onboarded</t>
        </is>
      </c>
      <c r="N130" s="43" t="inlineStr">
        <is>
          <t>Zoca &lt;&gt; True U Aesthetics</t>
        </is>
      </c>
      <c r="O130" s="2" t="b">
        <v>1</v>
      </c>
    </row>
    <row r="131">
      <c r="A131" s="40" t="inlineStr">
        <is>
          <t>Spoiled by kanda</t>
        </is>
      </c>
      <c r="B131" s="40" t="inlineStr">
        <is>
          <t>spoiledbykandalmt@gmail.com</t>
        </is>
      </c>
      <c r="C131" s="40" t="inlineStr">
        <is>
          <t>2026-07</t>
        </is>
      </c>
      <c r="D131" s="41" t="n">
        <v>46232</v>
      </c>
      <c r="E131" s="41" t="n"/>
      <c r="F131" s="40" t="n"/>
      <c r="G131" s="40" t="b">
        <v>0</v>
      </c>
      <c r="H131" s="40" t="b">
        <v>0</v>
      </c>
      <c r="I131" s="40" t="n">
        <v>0</v>
      </c>
      <c r="J131" s="40" t="n">
        <v>0</v>
      </c>
      <c r="K131" s="41" t="n"/>
      <c r="L131" s="42" t="n">
        <v>0</v>
      </c>
      <c r="M131" s="40" t="inlineStr">
        <is>
          <t>Never onboarded</t>
        </is>
      </c>
      <c r="N131" s="43" t="inlineStr">
        <is>
          <t>Spoiled by kanda X Zoca | Check In July</t>
        </is>
      </c>
      <c r="O131" s="2" t="b">
        <v>1</v>
      </c>
    </row>
    <row r="132">
      <c r="A132" s="40" t="inlineStr">
        <is>
          <t>CelebMassage</t>
        </is>
      </c>
      <c r="B132" s="40" t="inlineStr">
        <is>
          <t>dbvarrs67@gmail.com</t>
        </is>
      </c>
      <c r="C132" s="40" t="inlineStr">
        <is>
          <t>2026-07</t>
        </is>
      </c>
      <c r="D132" s="41" t="n">
        <v>46223</v>
      </c>
      <c r="E132" s="41" t="n"/>
      <c r="F132" s="40" t="n"/>
      <c r="G132" s="40" t="b">
        <v>0</v>
      </c>
      <c r="H132" s="40" t="b">
        <v>0</v>
      </c>
      <c r="I132" s="40" t="n">
        <v>0</v>
      </c>
      <c r="J132" s="40" t="n">
        <v>0</v>
      </c>
      <c r="K132" s="41" t="n"/>
      <c r="L132" s="42" t="n">
        <v>0</v>
      </c>
      <c r="M132" s="40" t="inlineStr">
        <is>
          <t>Never onboarded</t>
        </is>
      </c>
      <c r="N132" s="43" t="inlineStr">
        <is>
          <t>CelebMassage X Zoca | Check In July</t>
        </is>
      </c>
      <c r="O132" s="2" t="b">
        <v>1</v>
      </c>
    </row>
    <row r="133">
      <c r="A133" s="40" t="inlineStr">
        <is>
          <t>Napa Vineyard Massage and Wellness</t>
        </is>
      </c>
      <c r="B133" s="40" t="inlineStr">
        <is>
          <t>napavineyardmassage1@gmail.com</t>
        </is>
      </c>
      <c r="C133" s="40" t="inlineStr">
        <is>
          <t>2026-07</t>
        </is>
      </c>
      <c r="D133" s="41" t="n">
        <v>46216</v>
      </c>
      <c r="E133" s="41" t="n"/>
      <c r="F133" s="40" t="n"/>
      <c r="G133" s="40" t="b">
        <v>0</v>
      </c>
      <c r="H133" s="40" t="b">
        <v>0</v>
      </c>
      <c r="I133" s="40" t="n">
        <v>0</v>
      </c>
      <c r="J133" s="40" t="n">
        <v>0</v>
      </c>
      <c r="K133" s="41" t="n"/>
      <c r="L133" s="42" t="n">
        <v>0</v>
      </c>
      <c r="M133" s="40" t="inlineStr">
        <is>
          <t>Never onboarded</t>
        </is>
      </c>
      <c r="N133" s="43" t="inlineStr">
        <is>
          <t>Napa Vineyard Massage and Wellness X Zoca | C</t>
        </is>
      </c>
      <c r="O133" s="2" t="b">
        <v>1</v>
      </c>
    </row>
    <row r="134">
      <c r="A134" s="40" t="inlineStr">
        <is>
          <t>Perfectly Bare Wax Bar</t>
        </is>
      </c>
      <c r="B134" s="40" t="inlineStr">
        <is>
          <t>perfectlybarewaxbar@gmail.com</t>
        </is>
      </c>
      <c r="C134" s="40" t="inlineStr">
        <is>
          <t>2026-07</t>
        </is>
      </c>
      <c r="D134" s="41" t="n">
        <v>46211</v>
      </c>
      <c r="E134" s="41" t="n"/>
      <c r="F134" s="40" t="n"/>
      <c r="G134" s="40" t="b">
        <v>0</v>
      </c>
      <c r="H134" s="40" t="b">
        <v>0</v>
      </c>
      <c r="I134" s="40" t="n">
        <v>0</v>
      </c>
      <c r="J134" s="40" t="n">
        <v>0</v>
      </c>
      <c r="K134" s="41" t="n"/>
      <c r="L134" s="42" t="n">
        <v>0</v>
      </c>
      <c r="M134" s="40" t="inlineStr">
        <is>
          <t>Never onboarded</t>
        </is>
      </c>
      <c r="N134" s="43" t="inlineStr">
        <is>
          <t>Perfectly Bare Wax X Zoca | Social Media Onbo</t>
        </is>
      </c>
      <c r="O134" s="2" t="b">
        <v>1</v>
      </c>
    </row>
    <row r="135">
      <c r="A135" s="40" t="inlineStr">
        <is>
          <t>Mora Therapeutic Massage, LLC</t>
        </is>
      </c>
      <c r="B135" s="40" t="inlineStr">
        <is>
          <t>corrine3963@gmail.com</t>
        </is>
      </c>
      <c r="C135" s="40" t="inlineStr">
        <is>
          <t>2026-07</t>
        </is>
      </c>
      <c r="D135" s="41" t="n">
        <v>46219</v>
      </c>
      <c r="E135" s="41" t="n"/>
      <c r="F135" s="40" t="n"/>
      <c r="G135" s="40" t="b">
        <v>0</v>
      </c>
      <c r="H135" s="40" t="b">
        <v>0</v>
      </c>
      <c r="I135" s="40" t="n">
        <v>0</v>
      </c>
      <c r="J135" s="40" t="n">
        <v>0</v>
      </c>
      <c r="K135" s="41" t="n"/>
      <c r="L135" s="42" t="n">
        <v>0</v>
      </c>
      <c r="M135" s="40" t="inlineStr">
        <is>
          <t>Never onboarded</t>
        </is>
      </c>
      <c r="N135" s="43" t="inlineStr">
        <is>
          <t>Mora &amp; Zoca</t>
        </is>
      </c>
      <c r="O135" s="2" t="b">
        <v>0</v>
      </c>
    </row>
    <row r="136">
      <c r="A136" s="40" t="inlineStr">
        <is>
          <t>Beauty By Bowers Day Spa</t>
        </is>
      </c>
      <c r="B136" s="40" t="inlineStr">
        <is>
          <t>beautybybowers@gmail.com</t>
        </is>
      </c>
      <c r="C136" s="40" t="inlineStr">
        <is>
          <t>2026-07</t>
        </is>
      </c>
      <c r="D136" s="41" t="n">
        <v>46216</v>
      </c>
      <c r="E136" s="41" t="n"/>
      <c r="F136" s="40" t="n"/>
      <c r="G136" s="40" t="b">
        <v>0</v>
      </c>
      <c r="H136" s="40" t="b">
        <v>0</v>
      </c>
      <c r="I136" s="40" t="n">
        <v>0</v>
      </c>
      <c r="J136" s="40" t="n">
        <v>0</v>
      </c>
      <c r="K136" s="41" t="n"/>
      <c r="L136" s="42" t="n">
        <v>0</v>
      </c>
      <c r="M136" s="40" t="inlineStr">
        <is>
          <t>Never onboarded</t>
        </is>
      </c>
      <c r="N136" s="43" t="inlineStr">
        <is>
          <t>Beauty By Bowers Day Spa X Zoca | Check In Ju</t>
        </is>
      </c>
      <c r="O136" s="2" t="b">
        <v>1</v>
      </c>
    </row>
    <row r="137">
      <c r="A137" s="40" t="inlineStr">
        <is>
          <t>Radiance: Beautiful Skin</t>
        </is>
      </c>
      <c r="B137" s="40" t="inlineStr">
        <is>
          <t>tara@radiancebeautifulskin.com</t>
        </is>
      </c>
      <c r="C137" s="40" t="inlineStr">
        <is>
          <t>2026-07</t>
        </is>
      </c>
      <c r="D137" s="41" t="n">
        <v>46234</v>
      </c>
      <c r="E137" s="41" t="n"/>
      <c r="F137" s="40" t="n"/>
      <c r="G137" s="40" t="b">
        <v>0</v>
      </c>
      <c r="H137" s="40" t="b">
        <v>0</v>
      </c>
      <c r="I137" s="40" t="n">
        <v>0</v>
      </c>
      <c r="J137" s="40" t="n">
        <v>0</v>
      </c>
      <c r="K137" s="41" t="n"/>
      <c r="L137" s="42" t="n">
        <v>0</v>
      </c>
      <c r="M137" s="40" t="inlineStr">
        <is>
          <t>Never onboarded</t>
        </is>
      </c>
      <c r="N137" s="43" t="inlineStr">
        <is>
          <t>Zoca - Tara-Radiance</t>
        </is>
      </c>
      <c r="O137" s="2" t="b">
        <v>1</v>
      </c>
    </row>
    <row r="138">
      <c r="A138" s="40" t="inlineStr">
        <is>
          <t>AKKI Aesthetics</t>
        </is>
      </c>
      <c r="B138" s="40" t="inlineStr">
        <is>
          <t>akkimedspa@gmail.com</t>
        </is>
      </c>
      <c r="C138" s="40" t="inlineStr">
        <is>
          <t>2026-07</t>
        </is>
      </c>
      <c r="D138" s="41" t="n">
        <v>46230</v>
      </c>
      <c r="E138" s="41" t="n"/>
      <c r="F138" s="40" t="n"/>
      <c r="G138" s="40" t="b">
        <v>0</v>
      </c>
      <c r="H138" s="40" t="b">
        <v>0</v>
      </c>
      <c r="I138" s="40" t="n">
        <v>0</v>
      </c>
      <c r="J138" s="40" t="n">
        <v>0</v>
      </c>
      <c r="K138" s="41" t="n"/>
      <c r="L138" s="42" t="n">
        <v>0</v>
      </c>
      <c r="M138" s="40" t="inlineStr">
        <is>
          <t>Never onboarded</t>
        </is>
      </c>
      <c r="N138" s="43" t="inlineStr">
        <is>
          <t>AKKI Aesthetics X Zoca | Check In July</t>
        </is>
      </c>
      <c r="O138" s="2" t="b">
        <v>1</v>
      </c>
    </row>
    <row r="139">
      <c r="A139" s="40" t="inlineStr">
        <is>
          <t>Wholistic Essence</t>
        </is>
      </c>
      <c r="B139" s="40" t="inlineStr">
        <is>
          <t>wciw1423@gmail.com</t>
        </is>
      </c>
      <c r="C139" s="40" t="inlineStr">
        <is>
          <t>2026-07</t>
        </is>
      </c>
      <c r="D139" s="41" t="n">
        <v>46217</v>
      </c>
      <c r="E139" s="41" t="n"/>
      <c r="F139" s="40" t="n"/>
      <c r="G139" s="40" t="b">
        <v>0</v>
      </c>
      <c r="H139" s="40" t="b">
        <v>0</v>
      </c>
      <c r="I139" s="40" t="n">
        <v>0</v>
      </c>
      <c r="J139" s="40" t="n">
        <v>0</v>
      </c>
      <c r="K139" s="41" t="n"/>
      <c r="L139" s="42" t="n">
        <v>0</v>
      </c>
      <c r="M139" s="40" t="inlineStr">
        <is>
          <t>Never onboarded</t>
        </is>
      </c>
      <c r="N139" s="43" t="inlineStr">
        <is>
          <t>Wholistic Essence X Zoca | Check In July</t>
        </is>
      </c>
      <c r="O139" s="2" t="b">
        <v>1</v>
      </c>
    </row>
    <row r="140">
      <c r="A140" s="40" t="inlineStr">
        <is>
          <t>VIP Aesthetic Center Best Med Spa for Botox &amp; Fillers</t>
        </is>
      </c>
      <c r="B140" s="40" t="inlineStr">
        <is>
          <t>sergejanov@gmail.com</t>
        </is>
      </c>
      <c r="C140" s="40" t="inlineStr">
        <is>
          <t>2026-07</t>
        </is>
      </c>
      <c r="D140" s="41" t="n">
        <v>46230</v>
      </c>
      <c r="E140" s="41" t="n"/>
      <c r="F140" s="40" t="n"/>
      <c r="G140" s="40" t="b">
        <v>0</v>
      </c>
      <c r="H140" s="40" t="b">
        <v>0</v>
      </c>
      <c r="I140" s="40" t="n">
        <v>0</v>
      </c>
      <c r="J140" s="40" t="n">
        <v>0</v>
      </c>
      <c r="K140" s="41" t="n"/>
      <c r="L140" s="42" t="n">
        <v>0</v>
      </c>
      <c r="M140" s="40" t="inlineStr">
        <is>
          <t>Never onboarded</t>
        </is>
      </c>
      <c r="N140" s="43" t="inlineStr">
        <is>
          <t>Zoca - Serge-VIP Aesthetic Center Med Spa</t>
        </is>
      </c>
      <c r="O140" s="2" t="b">
        <v>1</v>
      </c>
    </row>
    <row r="141">
      <c r="A141" s="40" t="inlineStr">
        <is>
          <t>Bel0 Cryotherapy LLC</t>
        </is>
      </c>
      <c r="B141" s="40" t="inlineStr">
        <is>
          <t>feinman77@yahoo.com</t>
        </is>
      </c>
      <c r="C141" s="40" t="inlineStr">
        <is>
          <t>2026-07</t>
        </is>
      </c>
      <c r="D141" s="41" t="n">
        <v>46230</v>
      </c>
      <c r="E141" s="41" t="n"/>
      <c r="F141" s="40" t="n"/>
      <c r="G141" s="40" t="b">
        <v>0</v>
      </c>
      <c r="H141" s="40" t="b">
        <v>0</v>
      </c>
      <c r="I141" s="40" t="n">
        <v>0</v>
      </c>
      <c r="J141" s="40" t="n">
        <v>0</v>
      </c>
      <c r="K141" s="41" t="n"/>
      <c r="L141" s="42" t="n">
        <v>0</v>
      </c>
      <c r="M141" s="40" t="inlineStr">
        <is>
          <t>Never onboarded</t>
        </is>
      </c>
      <c r="N141" s="43" t="inlineStr">
        <is>
          <t>DanielZoca</t>
        </is>
      </c>
      <c r="O141" s="2" t="b">
        <v>1</v>
      </c>
    </row>
    <row r="142">
      <c r="A142" s="40" t="inlineStr">
        <is>
          <t>Bodied Boss Studio</t>
        </is>
      </c>
      <c r="B142" s="40" t="inlineStr">
        <is>
          <t>info@bodiedboss.com</t>
        </is>
      </c>
      <c r="C142" s="40" t="inlineStr">
        <is>
          <t>2026-07</t>
        </is>
      </c>
      <c r="D142" s="41" t="n">
        <v>46216</v>
      </c>
      <c r="E142" s="41" t="n"/>
      <c r="F142" s="40" t="n"/>
      <c r="G142" s="40" t="b">
        <v>0</v>
      </c>
      <c r="H142" s="40" t="b">
        <v>0</v>
      </c>
      <c r="I142" s="40" t="n">
        <v>0</v>
      </c>
      <c r="J142" s="40" t="n">
        <v>0</v>
      </c>
      <c r="K142" s="41" t="n"/>
      <c r="L142" s="42" t="n">
        <v>0</v>
      </c>
      <c r="M142" s="40" t="inlineStr">
        <is>
          <t>Never onboarded</t>
        </is>
      </c>
      <c r="N142" s="43" t="inlineStr">
        <is>
          <t>Bodied Boss Studio X Zoca | Check In July</t>
        </is>
      </c>
      <c r="O142" s="2" t="b">
        <v>1</v>
      </c>
    </row>
    <row r="143">
      <c r="A143" s="40" t="inlineStr">
        <is>
          <t>Pressure by Queen Ki, LLC</t>
        </is>
      </c>
      <c r="B143" s="40" t="inlineStr">
        <is>
          <t>pressurebyqueenki@gmail.com</t>
        </is>
      </c>
      <c r="C143" s="40" t="inlineStr">
        <is>
          <t>2026-07</t>
        </is>
      </c>
      <c r="D143" s="41" t="n">
        <v>46231</v>
      </c>
      <c r="E143" s="41" t="n"/>
      <c r="F143" s="40" t="n"/>
      <c r="G143" s="40" t="b">
        <v>0</v>
      </c>
      <c r="H143" s="40" t="b">
        <v>0</v>
      </c>
      <c r="I143" s="40" t="n">
        <v>0</v>
      </c>
      <c r="J143" s="40" t="n">
        <v>0</v>
      </c>
      <c r="K143" s="41" t="n"/>
      <c r="L143" s="42" t="n">
        <v>0</v>
      </c>
      <c r="M143" s="40" t="inlineStr">
        <is>
          <t>Never onboarded</t>
        </is>
      </c>
      <c r="N143" s="43" t="inlineStr">
        <is>
          <t>Zoca - Kiara-Pressure by Queen Ki, LLC</t>
        </is>
      </c>
      <c r="O143" s="2" t="b">
        <v>1</v>
      </c>
    </row>
    <row r="144">
      <c r="A144" s="40" t="inlineStr">
        <is>
          <t>Embody Wellness Retreat</t>
        </is>
      </c>
      <c r="B144" s="40" t="inlineStr">
        <is>
          <t>natalietlindo@gmail.com</t>
        </is>
      </c>
      <c r="C144" s="40" t="inlineStr">
        <is>
          <t>2026-07</t>
        </is>
      </c>
      <c r="D144" s="41" t="n">
        <v>46212</v>
      </c>
      <c r="E144" s="41" t="n"/>
      <c r="F144" s="40" t="n"/>
      <c r="G144" s="40" t="b">
        <v>0</v>
      </c>
      <c r="H144" s="40" t="b">
        <v>0</v>
      </c>
      <c r="I144" s="40" t="n">
        <v>0</v>
      </c>
      <c r="J144" s="40" t="n">
        <v>0</v>
      </c>
      <c r="K144" s="41" t="n"/>
      <c r="L144" s="42" t="n">
        <v>0</v>
      </c>
      <c r="M144" s="40" t="inlineStr">
        <is>
          <t>Never onboarded</t>
        </is>
      </c>
      <c r="N144" s="43" t="inlineStr">
        <is>
          <t>NatalieZoca</t>
        </is>
      </c>
      <c r="O144" s="2" t="b">
        <v>1</v>
      </c>
    </row>
    <row r="145">
      <c r="A145" s="40" t="inlineStr">
        <is>
          <t>Rosado Beauty</t>
        </is>
      </c>
      <c r="B145" s="40" t="inlineStr">
        <is>
          <t>danielarosadoart@gmail.com</t>
        </is>
      </c>
      <c r="C145" s="40" t="inlineStr">
        <is>
          <t>2026-07</t>
        </is>
      </c>
      <c r="D145" s="41" t="n">
        <v>46204</v>
      </c>
      <c r="E145" s="41" t="n"/>
      <c r="F145" s="40" t="n"/>
      <c r="G145" s="40" t="b">
        <v>0</v>
      </c>
      <c r="H145" s="40" t="b">
        <v>0</v>
      </c>
      <c r="I145" s="40" t="n">
        <v>0</v>
      </c>
      <c r="J145" s="40" t="n">
        <v>0</v>
      </c>
      <c r="K145" s="41" t="n"/>
      <c r="L145" s="42" t="n">
        <v>0</v>
      </c>
      <c r="M145" s="40" t="inlineStr">
        <is>
          <t>Never onboarded</t>
        </is>
      </c>
      <c r="N145" s="43" t="inlineStr">
        <is>
          <t>Rosado Beauty X Zoca | Check In July</t>
        </is>
      </c>
      <c r="O145" s="2" t="b">
        <v>1</v>
      </c>
    </row>
    <row r="146">
      <c r="A146" s="12" t="inlineStr">
        <is>
          <t>Pampered Image Beauty Bar &amp; Bridal</t>
        </is>
      </c>
      <c r="B146" s="12" t="inlineStr">
        <is>
          <t>pamperedimagellc@gmail.com</t>
        </is>
      </c>
      <c r="C146" s="12" t="inlineStr">
        <is>
          <t>2026-07</t>
        </is>
      </c>
      <c r="D146" s="29" t="n">
        <v>46209</v>
      </c>
      <c r="E146" s="29" t="n">
        <v>46232</v>
      </c>
      <c r="F146" s="12" t="n">
        <v>23</v>
      </c>
      <c r="G146" s="12" t="b">
        <v>0</v>
      </c>
      <c r="H146" s="12" t="b">
        <v>0</v>
      </c>
      <c r="I146" s="12" t="n">
        <v>0</v>
      </c>
      <c r="J146" s="12" t="n">
        <v>0</v>
      </c>
      <c r="K146" s="29" t="n"/>
      <c r="L146" s="30" t="n">
        <v>0</v>
      </c>
      <c r="M146" s="12" t="inlineStr">
        <is>
          <t>Onboarded, not enabled</t>
        </is>
      </c>
      <c r="N146" s="14" t="inlineStr">
        <is>
          <t>Xanzalyn Beauty &amp; Dermacare X Zoca | Check In</t>
        </is>
      </c>
      <c r="O146" s="2" t="b">
        <v>1</v>
      </c>
    </row>
    <row r="147">
      <c r="A147" s="40" t="inlineStr">
        <is>
          <t>Rema's Secrets Luxury Day Spa &amp; Body Sculpting Massage</t>
        </is>
      </c>
      <c r="B147" s="40" t="inlineStr">
        <is>
          <t>jessicaharte31@gmail.com</t>
        </is>
      </c>
      <c r="C147" s="40" t="inlineStr">
        <is>
          <t>2026-07</t>
        </is>
      </c>
      <c r="D147" s="41" t="n">
        <v>46212</v>
      </c>
      <c r="E147" s="41" t="n"/>
      <c r="F147" s="40" t="n"/>
      <c r="G147" s="40" t="b">
        <v>0</v>
      </c>
      <c r="H147" s="40" t="b">
        <v>0</v>
      </c>
      <c r="I147" s="40" t="n">
        <v>0</v>
      </c>
      <c r="J147" s="40" t="n">
        <v>0</v>
      </c>
      <c r="K147" s="41" t="n"/>
      <c r="L147" s="42" t="n">
        <v>0</v>
      </c>
      <c r="M147" s="40" t="inlineStr">
        <is>
          <t>Never onboarded</t>
        </is>
      </c>
      <c r="N147" s="43" t="inlineStr">
        <is>
          <t>Rema's Secrets Luxury Day Spa &amp; Body Sculptin</t>
        </is>
      </c>
      <c r="O147" s="2" t="b">
        <v>1</v>
      </c>
    </row>
    <row r="148">
      <c r="A148" s="40" t="inlineStr">
        <is>
          <t>Wellness Your Way</t>
        </is>
      </c>
      <c r="B148" s="40" t="inlineStr">
        <is>
          <t>info@wellness-yourway.com</t>
        </is>
      </c>
      <c r="C148" s="40" t="inlineStr">
        <is>
          <t>2026-07</t>
        </is>
      </c>
      <c r="D148" s="41" t="n">
        <v>46209</v>
      </c>
      <c r="E148" s="41" t="n"/>
      <c r="F148" s="40" t="n"/>
      <c r="G148" s="40" t="b">
        <v>0</v>
      </c>
      <c r="H148" s="40" t="b">
        <v>0</v>
      </c>
      <c r="I148" s="40" t="n">
        <v>0</v>
      </c>
      <c r="J148" s="40" t="n">
        <v>0</v>
      </c>
      <c r="K148" s="41" t="n"/>
      <c r="L148" s="42" t="n">
        <v>0</v>
      </c>
      <c r="M148" s="40" t="inlineStr">
        <is>
          <t>Never onboarded</t>
        </is>
      </c>
      <c r="N148" s="43" t="inlineStr">
        <is>
          <t>Wellness Your Way X Zoca | Check In July</t>
        </is>
      </c>
      <c r="O148" s="2" t="b">
        <v>1</v>
      </c>
    </row>
    <row r="149">
      <c r="A149" s="12" t="inlineStr">
        <is>
          <t>The Braiding Place Elgin</t>
        </is>
      </c>
      <c r="B149" s="12" t="inlineStr">
        <is>
          <t>kelojou@gmail.com</t>
        </is>
      </c>
      <c r="C149" s="12" t="inlineStr">
        <is>
          <t>2026-07</t>
        </is>
      </c>
      <c r="D149" s="29" t="n">
        <v>46223</v>
      </c>
      <c r="E149" s="29" t="n">
        <v>46224</v>
      </c>
      <c r="F149" s="12" t="n">
        <v>1</v>
      </c>
      <c r="G149" s="12" t="b">
        <v>0</v>
      </c>
      <c r="H149" s="12" t="b">
        <v>0</v>
      </c>
      <c r="I149" s="12" t="n">
        <v>0</v>
      </c>
      <c r="J149" s="12" t="n">
        <v>0</v>
      </c>
      <c r="K149" s="29" t="n"/>
      <c r="L149" s="30" t="n">
        <v>0</v>
      </c>
      <c r="M149" s="12" t="inlineStr">
        <is>
          <t>Onboarded, not enabled</t>
        </is>
      </c>
      <c r="N149" s="14" t="inlineStr">
        <is>
          <t>The Braiding Place Elgin X Zoca | Check In Ju</t>
        </is>
      </c>
      <c r="O149" s="2" t="b">
        <v>1</v>
      </c>
    </row>
    <row r="150">
      <c r="A150" s="40" t="inlineStr">
        <is>
          <t>Lincoln Park Pilates &amp; Events</t>
        </is>
      </c>
      <c r="B150" s="40" t="inlineStr">
        <is>
          <t>info@lincolnparkpilates.com</t>
        </is>
      </c>
      <c r="C150" s="40" t="inlineStr">
        <is>
          <t>2026-07</t>
        </is>
      </c>
      <c r="D150" s="41" t="n">
        <v>46231</v>
      </c>
      <c r="E150" s="41" t="n"/>
      <c r="F150" s="40" t="n"/>
      <c r="G150" s="40" t="b">
        <v>0</v>
      </c>
      <c r="H150" s="40" t="b">
        <v>0</v>
      </c>
      <c r="I150" s="40" t="n">
        <v>0</v>
      </c>
      <c r="J150" s="40" t="n">
        <v>0</v>
      </c>
      <c r="K150" s="41" t="n"/>
      <c r="L150" s="42" t="n">
        <v>0</v>
      </c>
      <c r="M150" s="40" t="inlineStr">
        <is>
          <t>Never onboarded</t>
        </is>
      </c>
      <c r="N150" s="43" t="inlineStr">
        <is>
          <t>Zoca &lt;&gt; Lincoln Park Pilates</t>
        </is>
      </c>
      <c r="O150" s="2" t="b">
        <v>1</v>
      </c>
    </row>
    <row r="151">
      <c r="A151" s="40" t="inlineStr">
        <is>
          <t>The Facial Room</t>
        </is>
      </c>
      <c r="B151" s="40" t="inlineStr">
        <is>
          <t>tfacialroom@gmail.com</t>
        </is>
      </c>
      <c r="C151" s="40" t="inlineStr">
        <is>
          <t>2026-07</t>
        </is>
      </c>
      <c r="D151" s="41" t="n">
        <v>46218</v>
      </c>
      <c r="E151" s="41" t="n"/>
      <c r="F151" s="40" t="n"/>
      <c r="G151" s="40" t="b">
        <v>0</v>
      </c>
      <c r="H151" s="40" t="b">
        <v>0</v>
      </c>
      <c r="I151" s="40" t="n">
        <v>0</v>
      </c>
      <c r="J151" s="40" t="n">
        <v>0</v>
      </c>
      <c r="K151" s="41" t="n"/>
      <c r="L151" s="42" t="n">
        <v>0</v>
      </c>
      <c r="M151" s="40" t="inlineStr">
        <is>
          <t>Never onboarded</t>
        </is>
      </c>
      <c r="N151" s="43" t="inlineStr">
        <is>
          <t>The Facial Room X Zoca | Check In July</t>
        </is>
      </c>
      <c r="O151" s="2" t="b">
        <v>1</v>
      </c>
    </row>
    <row r="152">
      <c r="A152" s="40" t="inlineStr">
        <is>
          <t>La Maison Salon &amp; Spa</t>
        </is>
      </c>
      <c r="B152" s="40" t="inlineStr">
        <is>
          <t>lamaisonsalon34@gmail.com</t>
        </is>
      </c>
      <c r="C152" s="40" t="inlineStr">
        <is>
          <t>2026-07</t>
        </is>
      </c>
      <c r="D152" s="41" t="n">
        <v>46232</v>
      </c>
      <c r="E152" s="41" t="n"/>
      <c r="F152" s="40" t="n"/>
      <c r="G152" s="40" t="b">
        <v>0</v>
      </c>
      <c r="H152" s="40" t="b">
        <v>0</v>
      </c>
      <c r="I152" s="40" t="n">
        <v>0</v>
      </c>
      <c r="J152" s="40" t="n">
        <v>0</v>
      </c>
      <c r="K152" s="41" t="n"/>
      <c r="L152" s="42" t="n">
        <v>0</v>
      </c>
      <c r="M152" s="40" t="inlineStr">
        <is>
          <t>Never onboarded</t>
        </is>
      </c>
      <c r="N152" s="43" t="inlineStr">
        <is>
          <t>Onboarding Call for La Maison Salon Spa</t>
        </is>
      </c>
      <c r="O152" s="2" t="b">
        <v>1</v>
      </c>
    </row>
    <row r="153">
      <c r="A153" s="40" t="inlineStr">
        <is>
          <t>Glow Skin Care</t>
        </is>
      </c>
      <c r="B153" s="40" t="inlineStr">
        <is>
          <t>umakemeglow@gmail.com</t>
        </is>
      </c>
      <c r="C153" s="40" t="inlineStr">
        <is>
          <t>2026-07</t>
        </is>
      </c>
      <c r="D153" s="41" t="n">
        <v>46210</v>
      </c>
      <c r="E153" s="41" t="n"/>
      <c r="F153" s="40" t="n"/>
      <c r="G153" s="40" t="b">
        <v>0</v>
      </c>
      <c r="H153" s="40" t="b">
        <v>0</v>
      </c>
      <c r="I153" s="40" t="n">
        <v>0</v>
      </c>
      <c r="J153" s="40" t="n">
        <v>0</v>
      </c>
      <c r="K153" s="41" t="n"/>
      <c r="L153" s="42" t="n">
        <v>0</v>
      </c>
      <c r="M153" s="40" t="inlineStr">
        <is>
          <t>Never onboarded</t>
        </is>
      </c>
      <c r="N153" s="43" t="inlineStr">
        <is>
          <t>Glow Skin Care X Zoca | Check In July</t>
        </is>
      </c>
      <c r="O153" s="2" t="b">
        <v>1</v>
      </c>
    </row>
    <row r="154">
      <c r="A154" s="40" t="inlineStr">
        <is>
          <t>Fusion Medspa</t>
        </is>
      </c>
      <c r="B154" s="40" t="inlineStr">
        <is>
          <t>fusionmedspadfw@gmail.com</t>
        </is>
      </c>
      <c r="C154" s="40" t="inlineStr">
        <is>
          <t>2026-07</t>
        </is>
      </c>
      <c r="D154" s="41" t="n">
        <v>46217</v>
      </c>
      <c r="E154" s="41" t="n"/>
      <c r="F154" s="40" t="n"/>
      <c r="G154" s="40" t="b">
        <v>0</v>
      </c>
      <c r="H154" s="40" t="b">
        <v>0</v>
      </c>
      <c r="I154" s="40" t="n">
        <v>0</v>
      </c>
      <c r="J154" s="40" t="n">
        <v>0</v>
      </c>
      <c r="K154" s="41" t="n"/>
      <c r="L154" s="42" t="n">
        <v>0</v>
      </c>
      <c r="M154" s="40" t="inlineStr">
        <is>
          <t>Never onboarded</t>
        </is>
      </c>
      <c r="N154" s="43" t="inlineStr">
        <is>
          <t>Fusion MedSpa</t>
        </is>
      </c>
      <c r="O154" s="2" t="b">
        <v>0</v>
      </c>
    </row>
    <row r="155">
      <c r="A155" s="40" t="inlineStr">
        <is>
          <t>Acupressure Centre of Pittsburgh</t>
        </is>
      </c>
      <c r="B155" s="40" t="inlineStr">
        <is>
          <t>acupressurecentre@gmail.com</t>
        </is>
      </c>
      <c r="C155" s="40" t="inlineStr">
        <is>
          <t>2026-07</t>
        </is>
      </c>
      <c r="D155" s="41" t="n">
        <v>46217</v>
      </c>
      <c r="E155" s="41" t="n"/>
      <c r="F155" s="40" t="n"/>
      <c r="G155" s="40" t="b">
        <v>0</v>
      </c>
      <c r="H155" s="40" t="b">
        <v>0</v>
      </c>
      <c r="I155" s="40" t="n">
        <v>0</v>
      </c>
      <c r="J155" s="40" t="n">
        <v>0</v>
      </c>
      <c r="K155" s="41" t="n"/>
      <c r="L155" s="42" t="n">
        <v>0</v>
      </c>
      <c r="M155" s="40" t="inlineStr">
        <is>
          <t>Never onboarded</t>
        </is>
      </c>
      <c r="N155" s="43" t="inlineStr">
        <is>
          <t>Gregory Park and Lalith Soni</t>
        </is>
      </c>
      <c r="O155" s="2" t="b">
        <v>1</v>
      </c>
    </row>
    <row r="156">
      <c r="A156" s="40" t="inlineStr">
        <is>
          <t>DOLLFACE</t>
        </is>
      </c>
      <c r="B156" s="40" t="inlineStr">
        <is>
          <t>dimopoulos029@gmail.com</t>
        </is>
      </c>
      <c r="C156" s="40" t="inlineStr">
        <is>
          <t>2026-07</t>
        </is>
      </c>
      <c r="D156" s="41" t="n">
        <v>46223</v>
      </c>
      <c r="E156" s="41" t="n"/>
      <c r="F156" s="40" t="n"/>
      <c r="G156" s="40" t="b">
        <v>0</v>
      </c>
      <c r="H156" s="40" t="b">
        <v>0</v>
      </c>
      <c r="I156" s="40" t="n">
        <v>0</v>
      </c>
      <c r="J156" s="40" t="n">
        <v>0</v>
      </c>
      <c r="K156" s="41" t="n"/>
      <c r="L156" s="42" t="n">
        <v>0</v>
      </c>
      <c r="M156" s="40" t="inlineStr">
        <is>
          <t>Never onboarded</t>
        </is>
      </c>
      <c r="N156" s="43" t="inlineStr">
        <is>
          <t>DOLLFACE X Zoca | Check In July</t>
        </is>
      </c>
      <c r="O156" s="2" t="b">
        <v>1</v>
      </c>
    </row>
    <row r="157">
      <c r="A157" s="40" t="inlineStr">
        <is>
          <t>Salt Hair Studio</t>
        </is>
      </c>
      <c r="B157" s="40" t="inlineStr">
        <is>
          <t>salthairstudio@gmail.com</t>
        </is>
      </c>
      <c r="C157" s="40" t="inlineStr">
        <is>
          <t>2026-07</t>
        </is>
      </c>
      <c r="D157" s="41" t="n">
        <v>46233</v>
      </c>
      <c r="E157" s="41" t="n"/>
      <c r="F157" s="40" t="n"/>
      <c r="G157" s="40" t="b">
        <v>0</v>
      </c>
      <c r="H157" s="40" t="b">
        <v>0</v>
      </c>
      <c r="I157" s="40" t="n">
        <v>0</v>
      </c>
      <c r="J157" s="40" t="n">
        <v>0</v>
      </c>
      <c r="K157" s="41" t="n"/>
      <c r="L157" s="42" t="n">
        <v>0</v>
      </c>
      <c r="M157" s="40" t="inlineStr">
        <is>
          <t>Never onboarded</t>
        </is>
      </c>
      <c r="N157" s="43" t="inlineStr">
        <is>
          <t>Salt Hair Studio X Zoca | Check In July</t>
        </is>
      </c>
      <c r="O157" s="2" t="b">
        <v>1</v>
      </c>
    </row>
    <row r="158">
      <c r="A158" s="40" t="inlineStr">
        <is>
          <t>Elite Spa Wellness Center</t>
        </is>
      </c>
      <c r="B158" s="40" t="inlineStr">
        <is>
          <t>info@elitespawellness.com</t>
        </is>
      </c>
      <c r="C158" s="40" t="inlineStr">
        <is>
          <t>2026-07</t>
        </is>
      </c>
      <c r="D158" s="41" t="n">
        <v>46233</v>
      </c>
      <c r="E158" s="41" t="n"/>
      <c r="F158" s="40" t="n"/>
      <c r="G158" s="40" t="b">
        <v>0</v>
      </c>
      <c r="H158" s="40" t="b">
        <v>0</v>
      </c>
      <c r="I158" s="40" t="n">
        <v>0</v>
      </c>
      <c r="J158" s="40" t="n">
        <v>0</v>
      </c>
      <c r="K158" s="41" t="n"/>
      <c r="L158" s="42" t="n">
        <v>0</v>
      </c>
      <c r="M158" s="40" t="inlineStr">
        <is>
          <t>Never onboarded</t>
        </is>
      </c>
      <c r="N158" s="43" t="inlineStr">
        <is>
          <t>Elite Spa Wellness Center X Zoca | Check In J</t>
        </is>
      </c>
      <c r="O158" s="2" t="b">
        <v>1</v>
      </c>
    </row>
    <row r="159">
      <c r="A159" s="40" t="inlineStr">
        <is>
          <t>Saged NYC Beauty &amp; Wellness</t>
        </is>
      </c>
      <c r="B159" s="40" t="inlineStr">
        <is>
          <t>sagednyc@gmail.com</t>
        </is>
      </c>
      <c r="C159" s="40" t="inlineStr">
        <is>
          <t>2026-07</t>
        </is>
      </c>
      <c r="D159" s="41" t="n">
        <v>46206</v>
      </c>
      <c r="E159" s="41" t="n"/>
      <c r="F159" s="40" t="n"/>
      <c r="G159" s="40" t="b">
        <v>0</v>
      </c>
      <c r="H159" s="40" t="b">
        <v>0</v>
      </c>
      <c r="I159" s="40" t="n">
        <v>0</v>
      </c>
      <c r="J159" s="40" t="n">
        <v>0</v>
      </c>
      <c r="K159" s="41" t="n"/>
      <c r="L159" s="42" t="n">
        <v>0</v>
      </c>
      <c r="M159" s="40" t="inlineStr">
        <is>
          <t>Never onboarded</t>
        </is>
      </c>
      <c r="N159" s="43" t="inlineStr">
        <is>
          <t>Saged NYC Beauty &amp; Wellness X Zoca | Check In</t>
        </is>
      </c>
      <c r="O159" s="2" t="b">
        <v>1</v>
      </c>
    </row>
    <row r="160">
      <c r="A160" s="40" t="inlineStr">
        <is>
          <t>Lasting Beauty Spa</t>
        </is>
      </c>
      <c r="B160" s="40" t="inlineStr">
        <is>
          <t>info@lastingbeautyspa.com</t>
        </is>
      </c>
      <c r="C160" s="40" t="inlineStr">
        <is>
          <t>2026-07</t>
        </is>
      </c>
      <c r="D160" s="41" t="n">
        <v>46210</v>
      </c>
      <c r="E160" s="41" t="n"/>
      <c r="F160" s="40" t="n"/>
      <c r="G160" s="40" t="b">
        <v>0</v>
      </c>
      <c r="H160" s="40" t="b">
        <v>0</v>
      </c>
      <c r="I160" s="40" t="n">
        <v>0</v>
      </c>
      <c r="J160" s="40" t="n">
        <v>0</v>
      </c>
      <c r="K160" s="41" t="n"/>
      <c r="L160" s="42" t="n">
        <v>0</v>
      </c>
      <c r="M160" s="40" t="inlineStr">
        <is>
          <t>Never onboarded</t>
        </is>
      </c>
      <c r="N160" s="43" t="inlineStr">
        <is>
          <t>Lasting Beauty Spa X Zoca | Check In February</t>
        </is>
      </c>
      <c r="O160" s="2" t="b">
        <v>1</v>
      </c>
    </row>
    <row r="161">
      <c r="A161" s="40" t="inlineStr">
        <is>
          <t>Emerald Ivory Wellness Spa</t>
        </is>
      </c>
      <c r="B161" s="40" t="inlineStr">
        <is>
          <t>info@emeraldivorywellness.com</t>
        </is>
      </c>
      <c r="C161" s="40" t="inlineStr">
        <is>
          <t>2026-07</t>
        </is>
      </c>
      <c r="D161" s="41" t="n">
        <v>46234</v>
      </c>
      <c r="E161" s="41" t="n"/>
      <c r="F161" s="40" t="n"/>
      <c r="G161" s="40" t="b">
        <v>0</v>
      </c>
      <c r="H161" s="40" t="b">
        <v>0</v>
      </c>
      <c r="I161" s="40" t="n">
        <v>0</v>
      </c>
      <c r="J161" s="40" t="n">
        <v>0</v>
      </c>
      <c r="K161" s="41" t="n"/>
      <c r="L161" s="42" t="n">
        <v>0</v>
      </c>
      <c r="M161" s="40" t="inlineStr">
        <is>
          <t>Never onboarded</t>
        </is>
      </c>
      <c r="N161" s="43" t="inlineStr">
        <is>
          <t xml:space="preserve">Emerald Ivory Wellness Spa X Zoca | Check In </t>
        </is>
      </c>
      <c r="O161" s="2" t="b">
        <v>1</v>
      </c>
    </row>
    <row r="162">
      <c r="A162" s="40" t="inlineStr">
        <is>
          <t>Seven Layer Skin</t>
        </is>
      </c>
      <c r="B162" s="40" t="inlineStr">
        <is>
          <t>sevenlayerskin.ri@gmail.com</t>
        </is>
      </c>
      <c r="C162" s="40" t="inlineStr">
        <is>
          <t>2026-07</t>
        </is>
      </c>
      <c r="D162" s="41" t="n">
        <v>46205</v>
      </c>
      <c r="E162" s="41" t="n"/>
      <c r="F162" s="40" t="n"/>
      <c r="G162" s="40" t="b">
        <v>0</v>
      </c>
      <c r="H162" s="40" t="b">
        <v>0</v>
      </c>
      <c r="I162" s="40" t="n">
        <v>0</v>
      </c>
      <c r="J162" s="40" t="n">
        <v>0</v>
      </c>
      <c r="K162" s="41" t="n"/>
      <c r="L162" s="42" t="n">
        <v>0</v>
      </c>
      <c r="M162" s="40" t="inlineStr">
        <is>
          <t>Never onboarded</t>
        </is>
      </c>
      <c r="N162" s="43" t="inlineStr">
        <is>
          <t>Seven Layer Skin X Zoca | Check In July</t>
        </is>
      </c>
      <c r="O162" s="2" t="b">
        <v>1</v>
      </c>
    </row>
    <row r="163">
      <c r="A163" s="40" t="inlineStr">
        <is>
          <t>PRP Hair Loss Treatment in New Jersey</t>
        </is>
      </c>
      <c r="B163" s="40" t="inlineStr">
        <is>
          <t>drrickgoldstein@gmail.com</t>
        </is>
      </c>
      <c r="C163" s="40" t="inlineStr">
        <is>
          <t>2026-08</t>
        </is>
      </c>
      <c r="D163" s="41" t="n">
        <v>46237</v>
      </c>
      <c r="E163" s="41" t="n"/>
      <c r="F163" s="40" t="n"/>
      <c r="G163" s="40" t="b">
        <v>0</v>
      </c>
      <c r="H163" s="40" t="b">
        <v>0</v>
      </c>
      <c r="I163" s="40" t="n">
        <v>0</v>
      </c>
      <c r="J163" s="40" t="n">
        <v>0</v>
      </c>
      <c r="K163" s="41" t="n"/>
      <c r="L163" s="42" t="n">
        <v>0</v>
      </c>
      <c r="M163" s="40" t="inlineStr">
        <is>
          <t>Never onboarded</t>
        </is>
      </c>
      <c r="N163" s="43" t="inlineStr">
        <is>
          <t xml:space="preserve">PRP Hair Loss Treatment in New Jersey X Zoca </t>
        </is>
      </c>
      <c r="O163" s="2" t="b">
        <v>1</v>
      </c>
    </row>
    <row r="165">
      <c r="A165" s="16" t="inlineStr">
        <is>
          <t>Supersedes the July-only 'Pitch to Performance' sheet, which could only capture conversions inside a single month and so understated slow ones. Coverage: pitches counted only where a call attendee email matches a Chargebee customer (~53%). 148 is a floor.</t>
        </is>
      </c>
    </row>
    <row r="167">
      <c r="A167" s="26" t="inlineStr">
        <is>
          <t>TEST-ENTITY SCREEN (04/08/26): 0 of 173 pitched accounts are is_test=TRUE. The test contamination that affected the Locations sheet (237 of 446) does NOT affect the pitch register — pitched accounts were identified via recorded sales calls joined to Chargebee customer records, and test entities have neither. 15 of the 148 have since been deactivated; conversion among them is 0. Among still-active accounts the conversion rate is 31/133 = 23%.</t>
        </is>
      </c>
    </row>
  </sheetData>
  <hyperlinks>
    <hyperlink xmlns:r="http://schemas.openxmlformats.org/officeDocument/2006/relationships" ref="N16" r:id="rId1"/>
    <hyperlink xmlns:r="http://schemas.openxmlformats.org/officeDocument/2006/relationships" ref="N17" r:id="rId2"/>
    <hyperlink xmlns:r="http://schemas.openxmlformats.org/officeDocument/2006/relationships" ref="N18" r:id="rId3"/>
    <hyperlink xmlns:r="http://schemas.openxmlformats.org/officeDocument/2006/relationships" ref="N19" r:id="rId4"/>
    <hyperlink xmlns:r="http://schemas.openxmlformats.org/officeDocument/2006/relationships" ref="N20" r:id="rId5"/>
    <hyperlink xmlns:r="http://schemas.openxmlformats.org/officeDocument/2006/relationships" ref="N21" r:id="rId6"/>
    <hyperlink xmlns:r="http://schemas.openxmlformats.org/officeDocument/2006/relationships" ref="N22" r:id="rId7"/>
    <hyperlink xmlns:r="http://schemas.openxmlformats.org/officeDocument/2006/relationships" ref="N23" r:id="rId8"/>
    <hyperlink xmlns:r="http://schemas.openxmlformats.org/officeDocument/2006/relationships" ref="N24" r:id="rId9"/>
    <hyperlink xmlns:r="http://schemas.openxmlformats.org/officeDocument/2006/relationships" ref="N25" r:id="rId10"/>
    <hyperlink xmlns:r="http://schemas.openxmlformats.org/officeDocument/2006/relationships" ref="N26" r:id="rId11"/>
    <hyperlink xmlns:r="http://schemas.openxmlformats.org/officeDocument/2006/relationships" ref="N27" r:id="rId12"/>
    <hyperlink xmlns:r="http://schemas.openxmlformats.org/officeDocument/2006/relationships" ref="N28" r:id="rId13"/>
    <hyperlink xmlns:r="http://schemas.openxmlformats.org/officeDocument/2006/relationships" ref="N29" r:id="rId14"/>
    <hyperlink xmlns:r="http://schemas.openxmlformats.org/officeDocument/2006/relationships" ref="N30" r:id="rId15"/>
    <hyperlink xmlns:r="http://schemas.openxmlformats.org/officeDocument/2006/relationships" ref="N31" r:id="rId16"/>
    <hyperlink xmlns:r="http://schemas.openxmlformats.org/officeDocument/2006/relationships" ref="N32" r:id="rId17"/>
    <hyperlink xmlns:r="http://schemas.openxmlformats.org/officeDocument/2006/relationships" ref="N33" r:id="rId18"/>
    <hyperlink xmlns:r="http://schemas.openxmlformats.org/officeDocument/2006/relationships" ref="N34" r:id="rId19"/>
    <hyperlink xmlns:r="http://schemas.openxmlformats.org/officeDocument/2006/relationships" ref="N35" r:id="rId20"/>
    <hyperlink xmlns:r="http://schemas.openxmlformats.org/officeDocument/2006/relationships" ref="N36" r:id="rId21"/>
    <hyperlink xmlns:r="http://schemas.openxmlformats.org/officeDocument/2006/relationships" ref="N37" r:id="rId22"/>
    <hyperlink xmlns:r="http://schemas.openxmlformats.org/officeDocument/2006/relationships" ref="N38" r:id="rId23"/>
    <hyperlink xmlns:r="http://schemas.openxmlformats.org/officeDocument/2006/relationships" ref="N39" r:id="rId24"/>
    <hyperlink xmlns:r="http://schemas.openxmlformats.org/officeDocument/2006/relationships" ref="N40" r:id="rId25"/>
    <hyperlink xmlns:r="http://schemas.openxmlformats.org/officeDocument/2006/relationships" ref="N41" r:id="rId26"/>
    <hyperlink xmlns:r="http://schemas.openxmlformats.org/officeDocument/2006/relationships" ref="N42" r:id="rId27"/>
    <hyperlink xmlns:r="http://schemas.openxmlformats.org/officeDocument/2006/relationships" ref="N43" r:id="rId28"/>
    <hyperlink xmlns:r="http://schemas.openxmlformats.org/officeDocument/2006/relationships" ref="N44" r:id="rId29"/>
    <hyperlink xmlns:r="http://schemas.openxmlformats.org/officeDocument/2006/relationships" ref="N45" r:id="rId30"/>
    <hyperlink xmlns:r="http://schemas.openxmlformats.org/officeDocument/2006/relationships" ref="N46" r:id="rId31"/>
    <hyperlink xmlns:r="http://schemas.openxmlformats.org/officeDocument/2006/relationships" ref="N47" r:id="rId32"/>
    <hyperlink xmlns:r="http://schemas.openxmlformats.org/officeDocument/2006/relationships" ref="N48" r:id="rId33"/>
    <hyperlink xmlns:r="http://schemas.openxmlformats.org/officeDocument/2006/relationships" ref="N49" r:id="rId34"/>
    <hyperlink xmlns:r="http://schemas.openxmlformats.org/officeDocument/2006/relationships" ref="N50" r:id="rId35"/>
    <hyperlink xmlns:r="http://schemas.openxmlformats.org/officeDocument/2006/relationships" ref="N51" r:id="rId36"/>
    <hyperlink xmlns:r="http://schemas.openxmlformats.org/officeDocument/2006/relationships" ref="N52" r:id="rId37"/>
    <hyperlink xmlns:r="http://schemas.openxmlformats.org/officeDocument/2006/relationships" ref="N53" r:id="rId38"/>
    <hyperlink xmlns:r="http://schemas.openxmlformats.org/officeDocument/2006/relationships" ref="N54" r:id="rId39"/>
    <hyperlink xmlns:r="http://schemas.openxmlformats.org/officeDocument/2006/relationships" ref="N55" r:id="rId40"/>
    <hyperlink xmlns:r="http://schemas.openxmlformats.org/officeDocument/2006/relationships" ref="N56" r:id="rId41"/>
    <hyperlink xmlns:r="http://schemas.openxmlformats.org/officeDocument/2006/relationships" ref="N57" r:id="rId42"/>
    <hyperlink xmlns:r="http://schemas.openxmlformats.org/officeDocument/2006/relationships" ref="N58" r:id="rId43"/>
    <hyperlink xmlns:r="http://schemas.openxmlformats.org/officeDocument/2006/relationships" ref="N59" r:id="rId44"/>
    <hyperlink xmlns:r="http://schemas.openxmlformats.org/officeDocument/2006/relationships" ref="N60" r:id="rId45"/>
    <hyperlink xmlns:r="http://schemas.openxmlformats.org/officeDocument/2006/relationships" ref="N61" r:id="rId46"/>
    <hyperlink xmlns:r="http://schemas.openxmlformats.org/officeDocument/2006/relationships" ref="N62" r:id="rId47"/>
    <hyperlink xmlns:r="http://schemas.openxmlformats.org/officeDocument/2006/relationships" ref="N63" r:id="rId48"/>
    <hyperlink xmlns:r="http://schemas.openxmlformats.org/officeDocument/2006/relationships" ref="N64" r:id="rId49"/>
    <hyperlink xmlns:r="http://schemas.openxmlformats.org/officeDocument/2006/relationships" ref="N65" r:id="rId50"/>
    <hyperlink xmlns:r="http://schemas.openxmlformats.org/officeDocument/2006/relationships" ref="N66" r:id="rId51"/>
    <hyperlink xmlns:r="http://schemas.openxmlformats.org/officeDocument/2006/relationships" ref="N67" r:id="rId52"/>
    <hyperlink xmlns:r="http://schemas.openxmlformats.org/officeDocument/2006/relationships" ref="N68" r:id="rId53"/>
    <hyperlink xmlns:r="http://schemas.openxmlformats.org/officeDocument/2006/relationships" ref="N69" r:id="rId54"/>
    <hyperlink xmlns:r="http://schemas.openxmlformats.org/officeDocument/2006/relationships" ref="N70" r:id="rId55"/>
    <hyperlink xmlns:r="http://schemas.openxmlformats.org/officeDocument/2006/relationships" ref="N71" r:id="rId56"/>
    <hyperlink xmlns:r="http://schemas.openxmlformats.org/officeDocument/2006/relationships" ref="N72" r:id="rId57"/>
    <hyperlink xmlns:r="http://schemas.openxmlformats.org/officeDocument/2006/relationships" ref="N73" r:id="rId58"/>
    <hyperlink xmlns:r="http://schemas.openxmlformats.org/officeDocument/2006/relationships" ref="N74" r:id="rId59"/>
    <hyperlink xmlns:r="http://schemas.openxmlformats.org/officeDocument/2006/relationships" ref="N75" r:id="rId60"/>
    <hyperlink xmlns:r="http://schemas.openxmlformats.org/officeDocument/2006/relationships" ref="N76" r:id="rId61"/>
    <hyperlink xmlns:r="http://schemas.openxmlformats.org/officeDocument/2006/relationships" ref="N77" r:id="rId62"/>
    <hyperlink xmlns:r="http://schemas.openxmlformats.org/officeDocument/2006/relationships" ref="N78" r:id="rId63"/>
    <hyperlink xmlns:r="http://schemas.openxmlformats.org/officeDocument/2006/relationships" ref="N79" r:id="rId64"/>
    <hyperlink xmlns:r="http://schemas.openxmlformats.org/officeDocument/2006/relationships" ref="N80" r:id="rId65"/>
    <hyperlink xmlns:r="http://schemas.openxmlformats.org/officeDocument/2006/relationships" ref="N81" r:id="rId66"/>
    <hyperlink xmlns:r="http://schemas.openxmlformats.org/officeDocument/2006/relationships" ref="N82" r:id="rId67"/>
    <hyperlink xmlns:r="http://schemas.openxmlformats.org/officeDocument/2006/relationships" ref="N83" r:id="rId68"/>
    <hyperlink xmlns:r="http://schemas.openxmlformats.org/officeDocument/2006/relationships" ref="N84" r:id="rId69"/>
    <hyperlink xmlns:r="http://schemas.openxmlformats.org/officeDocument/2006/relationships" ref="N85" r:id="rId70"/>
    <hyperlink xmlns:r="http://schemas.openxmlformats.org/officeDocument/2006/relationships" ref="N86" r:id="rId71"/>
    <hyperlink xmlns:r="http://schemas.openxmlformats.org/officeDocument/2006/relationships" ref="N87" r:id="rId72"/>
    <hyperlink xmlns:r="http://schemas.openxmlformats.org/officeDocument/2006/relationships" ref="N88" r:id="rId73"/>
    <hyperlink xmlns:r="http://schemas.openxmlformats.org/officeDocument/2006/relationships" ref="N89" r:id="rId74"/>
    <hyperlink xmlns:r="http://schemas.openxmlformats.org/officeDocument/2006/relationships" ref="N90" r:id="rId75"/>
    <hyperlink xmlns:r="http://schemas.openxmlformats.org/officeDocument/2006/relationships" ref="N91" r:id="rId76"/>
    <hyperlink xmlns:r="http://schemas.openxmlformats.org/officeDocument/2006/relationships" ref="N92" r:id="rId77"/>
    <hyperlink xmlns:r="http://schemas.openxmlformats.org/officeDocument/2006/relationships" ref="N93" r:id="rId78"/>
    <hyperlink xmlns:r="http://schemas.openxmlformats.org/officeDocument/2006/relationships" ref="N94" r:id="rId79"/>
    <hyperlink xmlns:r="http://schemas.openxmlformats.org/officeDocument/2006/relationships" ref="N95" r:id="rId80"/>
    <hyperlink xmlns:r="http://schemas.openxmlformats.org/officeDocument/2006/relationships" ref="N96" r:id="rId81"/>
    <hyperlink xmlns:r="http://schemas.openxmlformats.org/officeDocument/2006/relationships" ref="N97" r:id="rId82"/>
    <hyperlink xmlns:r="http://schemas.openxmlformats.org/officeDocument/2006/relationships" ref="N98" r:id="rId83"/>
    <hyperlink xmlns:r="http://schemas.openxmlformats.org/officeDocument/2006/relationships" ref="N99" r:id="rId84"/>
    <hyperlink xmlns:r="http://schemas.openxmlformats.org/officeDocument/2006/relationships" ref="N100" r:id="rId85"/>
    <hyperlink xmlns:r="http://schemas.openxmlformats.org/officeDocument/2006/relationships" ref="N101" r:id="rId86"/>
    <hyperlink xmlns:r="http://schemas.openxmlformats.org/officeDocument/2006/relationships" ref="N102" r:id="rId87"/>
    <hyperlink xmlns:r="http://schemas.openxmlformats.org/officeDocument/2006/relationships" ref="N103" r:id="rId88"/>
    <hyperlink xmlns:r="http://schemas.openxmlformats.org/officeDocument/2006/relationships" ref="N104" r:id="rId89"/>
    <hyperlink xmlns:r="http://schemas.openxmlformats.org/officeDocument/2006/relationships" ref="N105" r:id="rId90"/>
    <hyperlink xmlns:r="http://schemas.openxmlformats.org/officeDocument/2006/relationships" ref="N106" r:id="rId91"/>
    <hyperlink xmlns:r="http://schemas.openxmlformats.org/officeDocument/2006/relationships" ref="N107" r:id="rId92"/>
    <hyperlink xmlns:r="http://schemas.openxmlformats.org/officeDocument/2006/relationships" ref="N108" r:id="rId93"/>
    <hyperlink xmlns:r="http://schemas.openxmlformats.org/officeDocument/2006/relationships" ref="N109" r:id="rId94"/>
    <hyperlink xmlns:r="http://schemas.openxmlformats.org/officeDocument/2006/relationships" ref="N110" r:id="rId95"/>
    <hyperlink xmlns:r="http://schemas.openxmlformats.org/officeDocument/2006/relationships" ref="N111" r:id="rId96"/>
    <hyperlink xmlns:r="http://schemas.openxmlformats.org/officeDocument/2006/relationships" ref="N112" r:id="rId97"/>
    <hyperlink xmlns:r="http://schemas.openxmlformats.org/officeDocument/2006/relationships" ref="N113" r:id="rId98"/>
    <hyperlink xmlns:r="http://schemas.openxmlformats.org/officeDocument/2006/relationships" ref="N114" r:id="rId99"/>
    <hyperlink xmlns:r="http://schemas.openxmlformats.org/officeDocument/2006/relationships" ref="N115" r:id="rId100"/>
    <hyperlink xmlns:r="http://schemas.openxmlformats.org/officeDocument/2006/relationships" ref="N116" r:id="rId101"/>
    <hyperlink xmlns:r="http://schemas.openxmlformats.org/officeDocument/2006/relationships" ref="N117" r:id="rId102"/>
    <hyperlink xmlns:r="http://schemas.openxmlformats.org/officeDocument/2006/relationships" ref="N118" r:id="rId103"/>
    <hyperlink xmlns:r="http://schemas.openxmlformats.org/officeDocument/2006/relationships" ref="N119" r:id="rId104"/>
    <hyperlink xmlns:r="http://schemas.openxmlformats.org/officeDocument/2006/relationships" ref="N120" r:id="rId105"/>
    <hyperlink xmlns:r="http://schemas.openxmlformats.org/officeDocument/2006/relationships" ref="N121" r:id="rId106"/>
    <hyperlink xmlns:r="http://schemas.openxmlformats.org/officeDocument/2006/relationships" ref="N122" r:id="rId107"/>
    <hyperlink xmlns:r="http://schemas.openxmlformats.org/officeDocument/2006/relationships" ref="N123" r:id="rId108"/>
    <hyperlink xmlns:r="http://schemas.openxmlformats.org/officeDocument/2006/relationships" ref="N124" r:id="rId109"/>
    <hyperlink xmlns:r="http://schemas.openxmlformats.org/officeDocument/2006/relationships" ref="N125" r:id="rId110"/>
    <hyperlink xmlns:r="http://schemas.openxmlformats.org/officeDocument/2006/relationships" ref="N126" r:id="rId111"/>
    <hyperlink xmlns:r="http://schemas.openxmlformats.org/officeDocument/2006/relationships" ref="N127" r:id="rId112"/>
    <hyperlink xmlns:r="http://schemas.openxmlformats.org/officeDocument/2006/relationships" ref="N128" r:id="rId113"/>
    <hyperlink xmlns:r="http://schemas.openxmlformats.org/officeDocument/2006/relationships" ref="N129" r:id="rId114"/>
    <hyperlink xmlns:r="http://schemas.openxmlformats.org/officeDocument/2006/relationships" ref="N130" r:id="rId115"/>
    <hyperlink xmlns:r="http://schemas.openxmlformats.org/officeDocument/2006/relationships" ref="N131" r:id="rId116"/>
    <hyperlink xmlns:r="http://schemas.openxmlformats.org/officeDocument/2006/relationships" ref="N132" r:id="rId117"/>
    <hyperlink xmlns:r="http://schemas.openxmlformats.org/officeDocument/2006/relationships" ref="N133" r:id="rId118"/>
    <hyperlink xmlns:r="http://schemas.openxmlformats.org/officeDocument/2006/relationships" ref="N134" r:id="rId119"/>
    <hyperlink xmlns:r="http://schemas.openxmlformats.org/officeDocument/2006/relationships" ref="N135" r:id="rId120"/>
    <hyperlink xmlns:r="http://schemas.openxmlformats.org/officeDocument/2006/relationships" ref="N136" r:id="rId121"/>
    <hyperlink xmlns:r="http://schemas.openxmlformats.org/officeDocument/2006/relationships" ref="N137" r:id="rId122"/>
    <hyperlink xmlns:r="http://schemas.openxmlformats.org/officeDocument/2006/relationships" ref="N138" r:id="rId123"/>
    <hyperlink xmlns:r="http://schemas.openxmlformats.org/officeDocument/2006/relationships" ref="N139" r:id="rId124"/>
    <hyperlink xmlns:r="http://schemas.openxmlformats.org/officeDocument/2006/relationships" ref="N140" r:id="rId125"/>
    <hyperlink xmlns:r="http://schemas.openxmlformats.org/officeDocument/2006/relationships" ref="N141" r:id="rId126"/>
    <hyperlink xmlns:r="http://schemas.openxmlformats.org/officeDocument/2006/relationships" ref="N142" r:id="rId127"/>
    <hyperlink xmlns:r="http://schemas.openxmlformats.org/officeDocument/2006/relationships" ref="N143" r:id="rId128"/>
    <hyperlink xmlns:r="http://schemas.openxmlformats.org/officeDocument/2006/relationships" ref="N144" r:id="rId129"/>
    <hyperlink xmlns:r="http://schemas.openxmlformats.org/officeDocument/2006/relationships" ref="N145" r:id="rId130"/>
    <hyperlink xmlns:r="http://schemas.openxmlformats.org/officeDocument/2006/relationships" ref="N146" r:id="rId131"/>
    <hyperlink xmlns:r="http://schemas.openxmlformats.org/officeDocument/2006/relationships" ref="N147" r:id="rId132"/>
    <hyperlink xmlns:r="http://schemas.openxmlformats.org/officeDocument/2006/relationships" ref="N148" r:id="rId133"/>
    <hyperlink xmlns:r="http://schemas.openxmlformats.org/officeDocument/2006/relationships" ref="N149" r:id="rId134"/>
    <hyperlink xmlns:r="http://schemas.openxmlformats.org/officeDocument/2006/relationships" ref="N150" r:id="rId135"/>
    <hyperlink xmlns:r="http://schemas.openxmlformats.org/officeDocument/2006/relationships" ref="N151" r:id="rId136"/>
    <hyperlink xmlns:r="http://schemas.openxmlformats.org/officeDocument/2006/relationships" ref="N152" r:id="rId137"/>
    <hyperlink xmlns:r="http://schemas.openxmlformats.org/officeDocument/2006/relationships" ref="N153" r:id="rId138"/>
    <hyperlink xmlns:r="http://schemas.openxmlformats.org/officeDocument/2006/relationships" ref="N154" r:id="rId139"/>
    <hyperlink xmlns:r="http://schemas.openxmlformats.org/officeDocument/2006/relationships" ref="N155" r:id="rId140"/>
    <hyperlink xmlns:r="http://schemas.openxmlformats.org/officeDocument/2006/relationships" ref="N156" r:id="rId141"/>
    <hyperlink xmlns:r="http://schemas.openxmlformats.org/officeDocument/2006/relationships" ref="N157" r:id="rId142"/>
    <hyperlink xmlns:r="http://schemas.openxmlformats.org/officeDocument/2006/relationships" ref="N158" r:id="rId143"/>
    <hyperlink xmlns:r="http://schemas.openxmlformats.org/officeDocument/2006/relationships" ref="N159" r:id="rId144"/>
    <hyperlink xmlns:r="http://schemas.openxmlformats.org/officeDocument/2006/relationships" ref="N160" r:id="rId145"/>
    <hyperlink xmlns:r="http://schemas.openxmlformats.org/officeDocument/2006/relationships" ref="N161" r:id="rId146"/>
    <hyperlink xmlns:r="http://schemas.openxmlformats.org/officeDocument/2006/relationships" ref="N162" r:id="rId147"/>
    <hyperlink xmlns:r="http://schemas.openxmlformats.org/officeDocument/2006/relationships" ref="N163" r:id="rId1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26" customWidth="1" min="4" max="4"/>
  </cols>
  <sheetData>
    <row r="1">
      <c r="A1" s="1" t="inlineStr">
        <is>
          <t>Scheduling adoption funnel — 178 legitimate locations</t>
        </is>
      </c>
    </row>
    <row r="2">
      <c r="A2" s="26" t="inlineStr">
        <is>
          <t>Test and inactive entities removed. Earlier versions showed 444, of which 237 were is_test=TRUE. Every count calculates from the Locations sheet.</t>
        </is>
      </c>
    </row>
    <row r="4">
      <c r="A4" s="7" t="inlineStr">
        <is>
          <t>Stage</t>
        </is>
      </c>
      <c r="B4" s="7" t="inlineStr">
        <is>
          <t>Locations</t>
        </is>
      </c>
      <c r="C4" s="7" t="inlineStr">
        <is>
          <t>% of entered</t>
        </is>
      </c>
      <c r="D4" s="7" t="inlineStr">
        <is>
          <t>Reading</t>
        </is>
      </c>
    </row>
    <row r="5">
      <c r="A5" s="21" t="inlineStr">
        <is>
          <t>Entered onboarding</t>
        </is>
      </c>
      <c r="B5" s="21">
        <f>COUNTA(Locations!$A$2:$A$179)</f>
        <v/>
      </c>
      <c r="C5" s="22">
        <f>B5/$B$5</f>
        <v/>
      </c>
      <c r="D5" s="21" t="inlineStr">
        <is>
          <t>Denominator — legitimate only</t>
        </is>
      </c>
    </row>
    <row r="6">
      <c r="A6" s="12" t="inlineStr">
        <is>
          <t>Opted in</t>
        </is>
      </c>
      <c r="B6" s="12">
        <f>SUMPRODUCT(--(Locations!$E$2:$E$179=TRUE))</f>
        <v/>
      </c>
      <c r="C6" s="23">
        <f>B6/$B$5</f>
        <v/>
      </c>
      <c r="D6" s="12" t="inlineStr"/>
    </row>
    <row r="7">
      <c r="A7" s="12" t="inlineStr">
        <is>
          <t>Business details set</t>
        </is>
      </c>
      <c r="B7" s="12">
        <f>SUMPRODUCT(--(Locations!$F$2:$F$179=TRUE))</f>
        <v/>
      </c>
      <c r="C7" s="23">
        <f>B7/$B$5</f>
        <v/>
      </c>
      <c r="D7" s="12" t="inlineStr"/>
    </row>
    <row r="8">
      <c r="A8" s="12" t="inlineStr">
        <is>
          <t>Services configured</t>
        </is>
      </c>
      <c r="B8" s="12">
        <f>SUMPRODUCT(--(Locations!$G$2:$G$179=TRUE))</f>
        <v/>
      </c>
      <c r="C8" s="23">
        <f>B8/$B$5</f>
        <v/>
      </c>
      <c r="D8" s="12" t="inlineStr"/>
    </row>
    <row r="9">
      <c r="A9" s="12" t="inlineStr">
        <is>
          <t>Booking rules configured</t>
        </is>
      </c>
      <c r="B9" s="12">
        <f>SUMPRODUCT(--(Locations!$H$2:$H$179=TRUE))</f>
        <v/>
      </c>
      <c r="C9" s="23">
        <f>B9/$B$5</f>
        <v/>
      </c>
      <c r="D9" s="12" t="inlineStr"/>
    </row>
    <row r="10">
      <c r="A10" s="12" t="inlineStr">
        <is>
          <t>Booking policies configured</t>
        </is>
      </c>
      <c r="B10" s="12">
        <f>SUMPRODUCT(--(Locations!$I$2:$I$179=TRUE))</f>
        <v/>
      </c>
      <c r="C10" s="23">
        <f>B10/$B$5</f>
        <v/>
      </c>
      <c r="D10" s="12" t="inlineStr"/>
    </row>
    <row r="11">
      <c r="A11" s="12" t="inlineStr">
        <is>
          <t>Website flipped to Zoca booking</t>
        </is>
      </c>
      <c r="B11" s="12">
        <f>SUMPRODUCT(--(Locations!$N$2:$N$179=TRUE))</f>
        <v/>
      </c>
      <c r="C11" s="23">
        <f>B11/$B$5</f>
        <v/>
      </c>
      <c r="D11" s="12" t="inlineStr"/>
    </row>
    <row r="12">
      <c r="A12" s="12" t="inlineStr">
        <is>
          <t>Onboarding completed</t>
        </is>
      </c>
      <c r="B12" s="12">
        <f>SUMPRODUCT(--(Locations!$L$2:$L$179=TRUE))</f>
        <v/>
      </c>
      <c r="C12" s="23">
        <f>B12/$B$5</f>
        <v/>
      </c>
      <c r="D12" s="12" t="inlineStr"/>
    </row>
    <row r="13">
      <c r="A13" s="21" t="inlineStr">
        <is>
          <t>Enabled (config flag)</t>
        </is>
      </c>
      <c r="B13" s="21">
        <f>SUMPRODUCT(--(Locations!$M$2:$M$179=TRUE))</f>
        <v/>
      </c>
      <c r="C13" s="22">
        <f>B13/$B$5</f>
        <v/>
      </c>
      <c r="D13" s="21" t="inlineStr">
        <is>
          <t>SETUP conversion</t>
        </is>
      </c>
    </row>
    <row r="14">
      <c r="A14" s="21" t="inlineStr">
        <is>
          <t>Payments configured</t>
        </is>
      </c>
      <c r="B14" s="21">
        <f>SUMPRODUCT(--(Locations!$J$2:$J$179=TRUE))</f>
        <v/>
      </c>
      <c r="C14" s="22">
        <f>B14/$B$5</f>
        <v/>
      </c>
      <c r="D14" s="21" t="inlineStr">
        <is>
          <t>The wall</t>
        </is>
      </c>
    </row>
    <row r="15">
      <c r="A15" s="21" t="inlineStr">
        <is>
          <t>Payments explicitly skipped</t>
        </is>
      </c>
      <c r="B15" s="21">
        <f>SUMPRODUCT(--(Locations!$K$2:$K$179=TRUE))</f>
        <v/>
      </c>
      <c r="C15" s="22">
        <f>B15/$B$5</f>
        <v/>
      </c>
      <c r="D15" s="21" t="inlineStr">
        <is>
          <t>The wall</t>
        </is>
      </c>
    </row>
    <row r="16">
      <c r="A16" s="21" t="inlineStr">
        <is>
          <t>Operationally live (&gt;=1 earned booking)</t>
        </is>
      </c>
      <c r="B16" s="21">
        <f>SUMPRODUCT(--(Locations!$T$2:$T$179=TRUE))</f>
        <v/>
      </c>
      <c r="C16" s="22">
        <f>B16/$B$5</f>
        <v/>
      </c>
      <c r="D16" s="21" t="inlineStr">
        <is>
          <t>ACTIVATION conversion</t>
        </is>
      </c>
    </row>
    <row r="17">
      <c r="A17" s="12" t="inlineStr">
        <is>
          <t>…took a customer-made booking</t>
        </is>
      </c>
      <c r="B17" s="12">
        <f>SUMPRODUCT(--(Locations!$P$2:$P$179&gt;0))</f>
        <v/>
      </c>
      <c r="C17" s="23">
        <f>B17/$B$5</f>
        <v/>
      </c>
      <c r="D17" s="12" t="inlineStr"/>
    </row>
    <row r="18">
      <c r="A18" s="12" t="inlineStr">
        <is>
          <t>Live in last 90 days</t>
        </is>
      </c>
      <c r="B18" s="12">
        <f>SUMPRODUCT(--(Locations!$S$2:$S$179&gt;=Summary!$B$3-90))</f>
        <v/>
      </c>
      <c r="C18" s="23">
        <f>B18/$B$5</f>
        <v/>
      </c>
      <c r="D18" s="12" t="inlineStr"/>
    </row>
    <row r="19">
      <c r="A19" s="21" t="inlineStr">
        <is>
          <t>Live in last 30 days</t>
        </is>
      </c>
      <c r="B19" s="21">
        <f>SUMPRODUCT(--(Locations!$S$2:$S$179&gt;=Summary!$B$3-30))</f>
        <v/>
      </c>
      <c r="C19" s="22">
        <f>B19/$B$5</f>
        <v/>
      </c>
      <c r="D19" s="21" t="inlineStr">
        <is>
          <t>SUSTAINED conversion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9" customWidth="1" min="4" max="4"/>
    <col width="9" customWidth="1" min="5" max="5"/>
    <col width="10" customWidth="1" min="6" max="6"/>
    <col width="11" customWidth="1" min="7" max="7"/>
    <col width="10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2" customWidth="1" min="15" max="15"/>
    <col width="12" customWidth="1" min="16" max="16"/>
    <col width="11" customWidth="1" min="17" max="17"/>
    <col width="14" customWidth="1" min="18" max="18"/>
    <col width="12" customWidth="1" min="19" max="19"/>
    <col width="12" customWidth="1" min="20" max="20"/>
    <col width="12" customWidth="1" min="21" max="21"/>
    <col width="11" customWidth="1" min="22" max="22"/>
    <col width="15" customWidth="1" min="23" max="23"/>
    <col width="24" customWidth="1" min="24" max="24"/>
    <col width="11" customWidth="1" min="25" max="25"/>
    <col width="12" customWidth="1" min="26" max="26"/>
  </cols>
  <sheetData>
    <row r="1">
      <c r="A1" s="7" t="inlineStr">
        <is>
          <t>Location entity id</t>
        </is>
      </c>
      <c r="B1" s="7" t="inlineStr">
        <is>
          <t>Business name</t>
        </is>
      </c>
      <c r="C1" s="7" t="inlineStr">
        <is>
          <t>Onboarding started</t>
        </is>
      </c>
      <c r="D1" s="7" t="inlineStr">
        <is>
          <t>Cohort</t>
        </is>
      </c>
      <c r="E1" s="7" t="inlineStr">
        <is>
          <t>Opted in</t>
        </is>
      </c>
      <c r="F1" s="7" t="inlineStr">
        <is>
          <t>Business details</t>
        </is>
      </c>
      <c r="G1" s="7" t="inlineStr">
        <is>
          <t>Services configured</t>
        </is>
      </c>
      <c r="H1" s="7" t="inlineStr">
        <is>
          <t>Booking rules</t>
        </is>
      </c>
      <c r="I1" s="7" t="inlineStr">
        <is>
          <t>Booking policies</t>
        </is>
      </c>
      <c r="J1" s="7" t="inlineStr">
        <is>
          <t>Payments configured</t>
        </is>
      </c>
      <c r="K1" s="7" t="inlineStr">
        <is>
          <t>Payments skipped</t>
        </is>
      </c>
      <c r="L1" s="7" t="inlineStr">
        <is>
          <t>Onboarding completed</t>
        </is>
      </c>
      <c r="M1" s="7" t="inlineStr">
        <is>
          <t>Enabled (flag)</t>
        </is>
      </c>
      <c r="N1" s="7" t="inlineStr">
        <is>
          <t>Website flipped</t>
        </is>
      </c>
      <c r="O1" s="7" t="inlineStr">
        <is>
          <t>Earned bookings</t>
        </is>
      </c>
      <c r="P1" s="7" t="inlineStr">
        <is>
          <t>Customer-made</t>
        </is>
      </c>
      <c r="Q1" s="7" t="inlineStr">
        <is>
          <t>Staff-made</t>
        </is>
      </c>
      <c r="R1" s="7" t="inlineStr">
        <is>
          <t>Migration source</t>
        </is>
      </c>
      <c r="S1" s="7" t="inlineStr">
        <is>
          <t>Last earned booking</t>
        </is>
      </c>
      <c r="T1" s="7" t="inlineStr">
        <is>
          <t>Operationally live</t>
        </is>
      </c>
      <c r="U1" s="7" t="inlineStr">
        <is>
          <t>Live in last 30d</t>
        </is>
      </c>
      <c r="V1" s="7" t="inlineStr">
        <is>
          <t>Paid transactions</t>
        </is>
      </c>
      <c r="W1" s="7" t="inlineStr">
        <is>
          <t>Paid amount post-launch (USD)</t>
        </is>
      </c>
      <c r="X1" s="7" t="inlineStr">
        <is>
          <t>Chargebee customer id</t>
        </is>
      </c>
      <c r="Y1" s="7" t="inlineStr">
        <is>
          <t>MRR (USD)</t>
        </is>
      </c>
      <c r="Z1" s="7" t="inlineStr">
        <is>
          <t>Subscription status</t>
        </is>
      </c>
    </row>
    <row r="2">
      <c r="A2" s="8" t="inlineStr">
        <is>
          <t>f2930e96-c10f-4273-834d-948790dcb785</t>
        </is>
      </c>
      <c r="B2" s="8" t="inlineStr">
        <is>
          <t>Nbraidstyles</t>
        </is>
      </c>
      <c r="C2" s="27" t="n">
        <v>46052</v>
      </c>
      <c r="D2" s="8" t="inlineStr">
        <is>
          <t>2026-01</t>
        </is>
      </c>
      <c r="E2" s="8" t="b">
        <v>1</v>
      </c>
      <c r="F2" s="8" t="b">
        <v>1</v>
      </c>
      <c r="G2" s="8" t="b">
        <v>1</v>
      </c>
      <c r="H2" s="8" t="b">
        <v>1</v>
      </c>
      <c r="I2" s="8" t="b">
        <v>1</v>
      </c>
      <c r="J2" s="8" t="b">
        <v>1</v>
      </c>
      <c r="K2" s="8" t="b">
        <v>0</v>
      </c>
      <c r="L2" s="8" t="b">
        <v>1</v>
      </c>
      <c r="M2" s="8" t="b">
        <v>1</v>
      </c>
      <c r="N2" s="8" t="b">
        <v>1</v>
      </c>
      <c r="O2" s="8" t="n">
        <v>75</v>
      </c>
      <c r="P2" s="8" t="n">
        <v>73</v>
      </c>
      <c r="Q2" s="8" t="n">
        <v>2</v>
      </c>
      <c r="R2" s="8" t="n"/>
      <c r="S2" s="27" t="n">
        <v>46237</v>
      </c>
      <c r="T2" s="8" t="b">
        <v>1</v>
      </c>
      <c r="U2" s="8" t="b">
        <v>1</v>
      </c>
      <c r="V2" s="8" t="n">
        <v>69</v>
      </c>
      <c r="W2" s="28" t="n">
        <v>2627</v>
      </c>
      <c r="X2" s="8" t="inlineStr">
        <is>
          <t>cus_OGiPoqL0Cu6SL2</t>
        </is>
      </c>
      <c r="Y2" s="28" t="n">
        <v>135</v>
      </c>
      <c r="Z2" s="8" t="inlineStr">
        <is>
          <t>active</t>
        </is>
      </c>
    </row>
    <row r="3">
      <c r="A3" s="12" t="inlineStr">
        <is>
          <t>0a3e4ac6-9bdb-4e76-b354-7e2f2d6bb72c</t>
        </is>
      </c>
      <c r="B3" s="17" t="inlineStr">
        <is>
          <t>(name not on file)</t>
        </is>
      </c>
      <c r="C3" s="29" t="n">
        <v>46053</v>
      </c>
      <c r="D3" s="12" t="inlineStr">
        <is>
          <t>2026-01</t>
        </is>
      </c>
      <c r="E3" s="12" t="b">
        <v>1</v>
      </c>
      <c r="F3" s="12" t="b">
        <v>1</v>
      </c>
      <c r="G3" s="12" t="b">
        <v>0</v>
      </c>
      <c r="H3" s="12" t="b">
        <v>0</v>
      </c>
      <c r="I3" s="12" t="b">
        <v>0</v>
      </c>
      <c r="J3" s="12" t="b">
        <v>0</v>
      </c>
      <c r="K3" s="12" t="b">
        <v>0</v>
      </c>
      <c r="L3" s="12" t="b">
        <v>0</v>
      </c>
      <c r="M3" s="12" t="b">
        <v>0</v>
      </c>
      <c r="N3" s="12" t="b">
        <v>0</v>
      </c>
      <c r="O3" s="12" t="n">
        <v>0</v>
      </c>
      <c r="P3" s="12" t="n">
        <v>0</v>
      </c>
      <c r="Q3" s="12" t="n">
        <v>0</v>
      </c>
      <c r="R3" s="12" t="n"/>
      <c r="S3" s="29" t="n"/>
      <c r="T3" s="12" t="b">
        <v>0</v>
      </c>
      <c r="U3" s="12" t="b">
        <v>0</v>
      </c>
      <c r="V3" s="12" t="n">
        <v>0</v>
      </c>
      <c r="W3" s="30" t="n">
        <v>0</v>
      </c>
      <c r="X3" s="12" t="n"/>
      <c r="Y3" s="30" t="n"/>
      <c r="Z3" s="12" t="n"/>
    </row>
    <row r="4">
      <c r="A4" s="8" t="inlineStr">
        <is>
          <t>d1983fab-fb1b-43c6-af50-2e25684bdc16</t>
        </is>
      </c>
      <c r="B4" s="18" t="inlineStr">
        <is>
          <t>(name not on file)</t>
        </is>
      </c>
      <c r="C4" s="27" t="n">
        <v>46053</v>
      </c>
      <c r="D4" s="8" t="inlineStr">
        <is>
          <t>2026-01</t>
        </is>
      </c>
      <c r="E4" s="8" t="b">
        <v>1</v>
      </c>
      <c r="F4" s="8" t="b">
        <v>1</v>
      </c>
      <c r="G4" s="8" t="b">
        <v>1</v>
      </c>
      <c r="H4" s="8" t="b">
        <v>1</v>
      </c>
      <c r="I4" s="8" t="b">
        <v>1</v>
      </c>
      <c r="J4" s="8" t="b">
        <v>0</v>
      </c>
      <c r="K4" s="8" t="b">
        <v>1</v>
      </c>
      <c r="L4" s="8" t="b">
        <v>1</v>
      </c>
      <c r="M4" s="8" t="b">
        <v>1</v>
      </c>
      <c r="N4" s="8" t="b">
        <v>1</v>
      </c>
      <c r="O4" s="8" t="n">
        <v>5</v>
      </c>
      <c r="P4" s="8" t="n">
        <v>0</v>
      </c>
      <c r="Q4" s="8" t="n">
        <v>5</v>
      </c>
      <c r="R4" s="8" t="n"/>
      <c r="S4" s="27" t="n">
        <v>46053</v>
      </c>
      <c r="T4" s="8" t="b">
        <v>1</v>
      </c>
      <c r="U4" s="8" t="b">
        <v>0</v>
      </c>
      <c r="V4" s="8" t="n">
        <v>0</v>
      </c>
      <c r="W4" s="28" t="n">
        <v>0</v>
      </c>
      <c r="X4" s="8" t="n"/>
      <c r="Y4" s="28" t="n"/>
      <c r="Z4" s="8" t="n"/>
    </row>
    <row r="5">
      <c r="A5" s="12" t="inlineStr">
        <is>
          <t>61bcfc8a-d56d-4b46-a4a3-658ce60aa48f</t>
        </is>
      </c>
      <c r="B5" s="17" t="inlineStr">
        <is>
          <t>(name not on file)</t>
        </is>
      </c>
      <c r="C5" s="29" t="n">
        <v>46053</v>
      </c>
      <c r="D5" s="12" t="inlineStr">
        <is>
          <t>2026-01</t>
        </is>
      </c>
      <c r="E5" s="12" t="b">
        <v>1</v>
      </c>
      <c r="F5" s="12" t="b">
        <v>1</v>
      </c>
      <c r="G5" s="12" t="b">
        <v>1</v>
      </c>
      <c r="H5" s="12" t="b">
        <v>1</v>
      </c>
      <c r="I5" s="12" t="b">
        <v>1</v>
      </c>
      <c r="J5" s="12" t="b">
        <v>0</v>
      </c>
      <c r="K5" s="12" t="b">
        <v>1</v>
      </c>
      <c r="L5" s="12" t="b">
        <v>1</v>
      </c>
      <c r="M5" s="12" t="b">
        <v>1</v>
      </c>
      <c r="N5" s="12" t="b">
        <v>1</v>
      </c>
      <c r="O5" s="12" t="n">
        <v>3</v>
      </c>
      <c r="P5" s="12" t="n">
        <v>0</v>
      </c>
      <c r="Q5" s="12" t="n">
        <v>3</v>
      </c>
      <c r="R5" s="12" t="n"/>
      <c r="S5" s="29" t="n">
        <v>46055</v>
      </c>
      <c r="T5" s="12" t="b">
        <v>1</v>
      </c>
      <c r="U5" s="12" t="b">
        <v>0</v>
      </c>
      <c r="V5" s="12" t="n">
        <v>0</v>
      </c>
      <c r="W5" s="30" t="n">
        <v>0</v>
      </c>
      <c r="X5" s="12" t="n"/>
      <c r="Y5" s="30" t="n"/>
      <c r="Z5" s="12" t="n"/>
    </row>
    <row r="6">
      <c r="A6" s="8" t="inlineStr">
        <is>
          <t>07233b3c-c922-40a7-8ac3-e57986ffb675</t>
        </is>
      </c>
      <c r="B6" s="18" t="inlineStr">
        <is>
          <t>(name not on file)</t>
        </is>
      </c>
      <c r="C6" s="27" t="n">
        <v>46055</v>
      </c>
      <c r="D6" s="8" t="inlineStr">
        <is>
          <t>2026-02</t>
        </is>
      </c>
      <c r="E6" s="8" t="b">
        <v>1</v>
      </c>
      <c r="F6" s="8" t="b">
        <v>1</v>
      </c>
      <c r="G6" s="8" t="b">
        <v>1</v>
      </c>
      <c r="H6" s="8" t="b">
        <v>1</v>
      </c>
      <c r="I6" s="8" t="b">
        <v>1</v>
      </c>
      <c r="J6" s="8" t="b">
        <v>0</v>
      </c>
      <c r="K6" s="8" t="b">
        <v>1</v>
      </c>
      <c r="L6" s="8" t="b">
        <v>1</v>
      </c>
      <c r="M6" s="8" t="b">
        <v>1</v>
      </c>
      <c r="N6" s="8" t="b">
        <v>1</v>
      </c>
      <c r="O6" s="8" t="n">
        <v>17</v>
      </c>
      <c r="P6" s="8" t="n">
        <v>9</v>
      </c>
      <c r="Q6" s="8" t="n">
        <v>8</v>
      </c>
      <c r="R6" s="8" t="n"/>
      <c r="S6" s="27" t="n">
        <v>46056</v>
      </c>
      <c r="T6" s="8" t="b">
        <v>1</v>
      </c>
      <c r="U6" s="8" t="b">
        <v>0</v>
      </c>
      <c r="V6" s="8" t="n">
        <v>0</v>
      </c>
      <c r="W6" s="28" t="n">
        <v>0</v>
      </c>
      <c r="X6" s="8" t="n"/>
      <c r="Y6" s="28" t="n"/>
      <c r="Z6" s="8" t="n"/>
    </row>
    <row r="7">
      <c r="A7" s="12" t="inlineStr">
        <is>
          <t>736264eb-3de6-49d0-a1fb-6706edc2ac61</t>
        </is>
      </c>
      <c r="B7" s="12" t="inlineStr">
        <is>
          <t>Creations Art and Beauty</t>
        </is>
      </c>
      <c r="C7" s="29" t="n">
        <v>46055</v>
      </c>
      <c r="D7" s="12" t="inlineStr">
        <is>
          <t>2026-02</t>
        </is>
      </c>
      <c r="E7" s="12" t="b">
        <v>1</v>
      </c>
      <c r="F7" s="12" t="b">
        <v>1</v>
      </c>
      <c r="G7" s="12" t="b">
        <v>1</v>
      </c>
      <c r="H7" s="12" t="b">
        <v>1</v>
      </c>
      <c r="I7" s="12" t="b">
        <v>1</v>
      </c>
      <c r="J7" s="12" t="b">
        <v>1</v>
      </c>
      <c r="K7" s="12" t="b">
        <v>0</v>
      </c>
      <c r="L7" s="12" t="b">
        <v>1</v>
      </c>
      <c r="M7" s="12" t="b">
        <v>1</v>
      </c>
      <c r="N7" s="12" t="b">
        <v>1</v>
      </c>
      <c r="O7" s="12" t="n">
        <v>23</v>
      </c>
      <c r="P7" s="12" t="n">
        <v>12</v>
      </c>
      <c r="Q7" s="12" t="n">
        <v>11</v>
      </c>
      <c r="R7" s="12" t="n"/>
      <c r="S7" s="29" t="n">
        <v>46233</v>
      </c>
      <c r="T7" s="12" t="b">
        <v>1</v>
      </c>
      <c r="U7" s="12" t="b">
        <v>1</v>
      </c>
      <c r="V7" s="12" t="n">
        <v>1</v>
      </c>
      <c r="W7" s="30" t="n">
        <v>1.4</v>
      </c>
      <c r="X7" s="12" t="inlineStr">
        <is>
          <t>AzqhpEUzYFk7hC0ut</t>
        </is>
      </c>
      <c r="Y7" s="30" t="n">
        <v>350</v>
      </c>
      <c r="Z7" s="12" t="inlineStr">
        <is>
          <t>active</t>
        </is>
      </c>
    </row>
    <row r="8">
      <c r="A8" s="8" t="inlineStr">
        <is>
          <t>410b7b26-6680-425d-8f37-642290a08d52</t>
        </is>
      </c>
      <c r="B8" s="18" t="inlineStr">
        <is>
          <t>(name not on file)</t>
        </is>
      </c>
      <c r="C8" s="27" t="n">
        <v>46056</v>
      </c>
      <c r="D8" s="8" t="inlineStr">
        <is>
          <t>2026-02</t>
        </is>
      </c>
      <c r="E8" s="8" t="b">
        <v>1</v>
      </c>
      <c r="F8" s="8" t="b">
        <v>1</v>
      </c>
      <c r="G8" s="8" t="b">
        <v>1</v>
      </c>
      <c r="H8" s="8" t="b">
        <v>1</v>
      </c>
      <c r="I8" s="8" t="b">
        <v>1</v>
      </c>
      <c r="J8" s="8" t="b">
        <v>0</v>
      </c>
      <c r="K8" s="8" t="b">
        <v>1</v>
      </c>
      <c r="L8" s="8" t="b">
        <v>1</v>
      </c>
      <c r="M8" s="8" t="b">
        <v>1</v>
      </c>
      <c r="N8" s="8" t="b">
        <v>1</v>
      </c>
      <c r="O8" s="8" t="n">
        <v>14</v>
      </c>
      <c r="P8" s="8" t="n">
        <v>8</v>
      </c>
      <c r="Q8" s="8" t="n">
        <v>6</v>
      </c>
      <c r="R8" s="8" t="n"/>
      <c r="S8" s="27" t="n">
        <v>46057</v>
      </c>
      <c r="T8" s="8" t="b">
        <v>1</v>
      </c>
      <c r="U8" s="8" t="b">
        <v>0</v>
      </c>
      <c r="V8" s="8" t="n">
        <v>0</v>
      </c>
      <c r="W8" s="28" t="n">
        <v>0</v>
      </c>
      <c r="X8" s="8" t="n"/>
      <c r="Y8" s="28" t="n"/>
      <c r="Z8" s="8" t="n"/>
    </row>
    <row r="9">
      <c r="A9" s="12" t="inlineStr">
        <is>
          <t>f72ac231-6a87-43ef-b01d-60f1ba670cc9</t>
        </is>
      </c>
      <c r="B9" s="17" t="inlineStr">
        <is>
          <t>(name not on file)</t>
        </is>
      </c>
      <c r="C9" s="29" t="n">
        <v>46057</v>
      </c>
      <c r="D9" s="12" t="inlineStr">
        <is>
          <t>2026-02</t>
        </is>
      </c>
      <c r="E9" s="12" t="b">
        <v>1</v>
      </c>
      <c r="F9" s="12" t="b">
        <v>1</v>
      </c>
      <c r="G9" s="12" t="b">
        <v>1</v>
      </c>
      <c r="H9" s="12" t="b">
        <v>1</v>
      </c>
      <c r="I9" s="12" t="b">
        <v>1</v>
      </c>
      <c r="J9" s="12" t="b">
        <v>0</v>
      </c>
      <c r="K9" s="12" t="b">
        <v>1</v>
      </c>
      <c r="L9" s="12" t="b">
        <v>1</v>
      </c>
      <c r="M9" s="12" t="b">
        <v>1</v>
      </c>
      <c r="N9" s="12" t="b">
        <v>1</v>
      </c>
      <c r="O9" s="12" t="n">
        <v>15</v>
      </c>
      <c r="P9" s="12" t="n">
        <v>1</v>
      </c>
      <c r="Q9" s="12" t="n">
        <v>14</v>
      </c>
      <c r="R9" s="12" t="n"/>
      <c r="S9" s="29" t="n">
        <v>46063</v>
      </c>
      <c r="T9" s="12" t="b">
        <v>1</v>
      </c>
      <c r="U9" s="12" t="b">
        <v>0</v>
      </c>
      <c r="V9" s="12" t="n">
        <v>2</v>
      </c>
      <c r="W9" s="30" t="n">
        <v>246</v>
      </c>
      <c r="X9" s="12" t="n"/>
      <c r="Y9" s="30" t="n"/>
      <c r="Z9" s="12" t="n"/>
    </row>
    <row r="10">
      <c r="A10" s="8" t="inlineStr">
        <is>
          <t>67e3523d-dff6-47d4-bebf-55bba69ef991</t>
        </is>
      </c>
      <c r="B10" s="8" t="inlineStr">
        <is>
          <t>ponceluxe laser studio</t>
        </is>
      </c>
      <c r="C10" s="27" t="n">
        <v>46058</v>
      </c>
      <c r="D10" s="8" t="inlineStr">
        <is>
          <t>2026-02</t>
        </is>
      </c>
      <c r="E10" s="8" t="b">
        <v>1</v>
      </c>
      <c r="F10" s="8" t="b">
        <v>1</v>
      </c>
      <c r="G10" s="8" t="b">
        <v>1</v>
      </c>
      <c r="H10" s="8" t="b">
        <v>1</v>
      </c>
      <c r="I10" s="8" t="b">
        <v>1</v>
      </c>
      <c r="J10" s="8" t="b">
        <v>0</v>
      </c>
      <c r="K10" s="8" t="b">
        <v>1</v>
      </c>
      <c r="L10" s="8" t="b">
        <v>1</v>
      </c>
      <c r="M10" s="8" t="b">
        <v>1</v>
      </c>
      <c r="N10" s="8" t="b">
        <v>1</v>
      </c>
      <c r="O10" s="8" t="n">
        <v>434</v>
      </c>
      <c r="P10" s="8" t="n">
        <v>55</v>
      </c>
      <c r="Q10" s="8" t="n">
        <v>379</v>
      </c>
      <c r="R10" s="8" t="n"/>
      <c r="S10" s="27" t="n">
        <v>46237</v>
      </c>
      <c r="T10" s="8" t="b">
        <v>1</v>
      </c>
      <c r="U10" s="8" t="b">
        <v>1</v>
      </c>
      <c r="V10" s="8" t="n">
        <v>1</v>
      </c>
      <c r="W10" s="28" t="n">
        <v>3500</v>
      </c>
      <c r="X10" s="8" t="inlineStr">
        <is>
          <t>AzZkqoV5Dtkn82au8</t>
        </is>
      </c>
      <c r="Y10" s="28" t="n">
        <v>100</v>
      </c>
      <c r="Z10" s="8" t="inlineStr">
        <is>
          <t>active</t>
        </is>
      </c>
    </row>
    <row r="11">
      <c r="A11" s="12" t="inlineStr">
        <is>
          <t>f774f9a1-e3df-458b-949f-a1cd9a346214</t>
        </is>
      </c>
      <c r="B11" s="12" t="inlineStr">
        <is>
          <t>Jeans lash lounge</t>
        </is>
      </c>
      <c r="C11" s="29" t="n">
        <v>46059</v>
      </c>
      <c r="D11" s="12" t="inlineStr">
        <is>
          <t>2026-02</t>
        </is>
      </c>
      <c r="E11" s="12" t="b">
        <v>1</v>
      </c>
      <c r="F11" s="12" t="b">
        <v>1</v>
      </c>
      <c r="G11" s="12" t="b">
        <v>1</v>
      </c>
      <c r="H11" s="12" t="b">
        <v>1</v>
      </c>
      <c r="I11" s="12" t="b">
        <v>1</v>
      </c>
      <c r="J11" s="12" t="b">
        <v>1</v>
      </c>
      <c r="K11" s="12" t="b">
        <v>0</v>
      </c>
      <c r="L11" s="12" t="b">
        <v>1</v>
      </c>
      <c r="M11" s="12" t="b">
        <v>1</v>
      </c>
      <c r="N11" s="12" t="b">
        <v>1</v>
      </c>
      <c r="O11" s="12" t="n">
        <v>24</v>
      </c>
      <c r="P11" s="12" t="n">
        <v>22</v>
      </c>
      <c r="Q11" s="12" t="n">
        <v>2</v>
      </c>
      <c r="R11" s="12" t="n"/>
      <c r="S11" s="29" t="n">
        <v>46223</v>
      </c>
      <c r="T11" s="12" t="b">
        <v>1</v>
      </c>
      <c r="U11" s="12" t="b">
        <v>1</v>
      </c>
      <c r="V11" s="12" t="n">
        <v>0</v>
      </c>
      <c r="W11" s="30" t="n">
        <v>0</v>
      </c>
      <c r="X11" s="12" t="inlineStr">
        <is>
          <t>AzqKGMUj2VY405ZFf</t>
        </is>
      </c>
      <c r="Y11" s="30" t="n">
        <v>399</v>
      </c>
      <c r="Z11" s="12" t="inlineStr">
        <is>
          <t>active</t>
        </is>
      </c>
    </row>
    <row r="12">
      <c r="A12" s="8" t="inlineStr">
        <is>
          <t>8516a713-7500-4ad6-9dde-d49f249abbb4</t>
        </is>
      </c>
      <c r="B12" s="8" t="inlineStr">
        <is>
          <t>Lord of Locs</t>
        </is>
      </c>
      <c r="C12" s="27" t="n">
        <v>46062</v>
      </c>
      <c r="D12" s="8" t="inlineStr">
        <is>
          <t>2026-02</t>
        </is>
      </c>
      <c r="E12" s="8" t="b">
        <v>1</v>
      </c>
      <c r="F12" s="8" t="b">
        <v>1</v>
      </c>
      <c r="G12" s="8" t="b">
        <v>1</v>
      </c>
      <c r="H12" s="8" t="b">
        <v>1</v>
      </c>
      <c r="I12" s="8" t="b">
        <v>1</v>
      </c>
      <c r="J12" s="8" t="b">
        <v>1</v>
      </c>
      <c r="K12" s="8" t="b">
        <v>1</v>
      </c>
      <c r="L12" s="8" t="b">
        <v>1</v>
      </c>
      <c r="M12" s="8" t="b">
        <v>1</v>
      </c>
      <c r="N12" s="8" t="b">
        <v>1</v>
      </c>
      <c r="O12" s="8" t="n">
        <v>77</v>
      </c>
      <c r="P12" s="8" t="n">
        <v>67</v>
      </c>
      <c r="Q12" s="8" t="n">
        <v>10</v>
      </c>
      <c r="R12" s="8" t="n"/>
      <c r="S12" s="27" t="n">
        <v>46237</v>
      </c>
      <c r="T12" s="8" t="b">
        <v>1</v>
      </c>
      <c r="U12" s="8" t="b">
        <v>1</v>
      </c>
      <c r="V12" s="8" t="n">
        <v>72</v>
      </c>
      <c r="W12" s="28" t="n">
        <v>3956</v>
      </c>
      <c r="X12" s="8" t="inlineStr">
        <is>
          <t>cus_Q0yzaP9rDqi7TT</t>
        </is>
      </c>
      <c r="Y12" s="28" t="n">
        <v>150</v>
      </c>
      <c r="Z12" s="8" t="inlineStr">
        <is>
          <t>active</t>
        </is>
      </c>
    </row>
    <row r="13">
      <c r="A13" s="12" t="inlineStr">
        <is>
          <t>db2e88b9-af6a-4d47-8900-9fcca27925a9</t>
        </is>
      </c>
      <c r="B13" s="12" t="inlineStr">
        <is>
          <t>The Beauty Bar Salon and Spa</t>
        </is>
      </c>
      <c r="C13" s="29" t="n">
        <v>46062</v>
      </c>
      <c r="D13" s="12" t="inlineStr">
        <is>
          <t>2026-02</t>
        </is>
      </c>
      <c r="E13" s="12" t="b">
        <v>1</v>
      </c>
      <c r="F13" s="12" t="b">
        <v>1</v>
      </c>
      <c r="G13" s="12" t="b">
        <v>1</v>
      </c>
      <c r="H13" s="12" t="b">
        <v>1</v>
      </c>
      <c r="I13" s="12" t="b">
        <v>1</v>
      </c>
      <c r="J13" s="12" t="b">
        <v>1</v>
      </c>
      <c r="K13" s="12" t="b">
        <v>0</v>
      </c>
      <c r="L13" s="12" t="b">
        <v>1</v>
      </c>
      <c r="M13" s="12" t="b">
        <v>1</v>
      </c>
      <c r="N13" s="12" t="b">
        <v>1</v>
      </c>
      <c r="O13" s="12" t="n">
        <v>459</v>
      </c>
      <c r="P13" s="12" t="n">
        <v>415</v>
      </c>
      <c r="Q13" s="12" t="n">
        <v>44</v>
      </c>
      <c r="R13" s="12" t="n"/>
      <c r="S13" s="29" t="n">
        <v>46237</v>
      </c>
      <c r="T13" s="12" t="b">
        <v>1</v>
      </c>
      <c r="U13" s="12" t="b">
        <v>1</v>
      </c>
      <c r="V13" s="12" t="n">
        <v>271</v>
      </c>
      <c r="W13" s="30" t="n">
        <v>8558.5</v>
      </c>
      <c r="X13" s="12" t="inlineStr">
        <is>
          <t>cus_OUyjtBRaU7IAeF</t>
        </is>
      </c>
      <c r="Y13" s="30" t="n">
        <v>162.94</v>
      </c>
      <c r="Z13" s="12" t="inlineStr">
        <is>
          <t>active</t>
        </is>
      </c>
    </row>
    <row r="14">
      <c r="A14" s="8" t="inlineStr">
        <is>
          <t>ccf27c15-8215-40aa-8204-aa7573903d30</t>
        </is>
      </c>
      <c r="B14" s="8" t="inlineStr">
        <is>
          <t>Premium African Braids</t>
        </is>
      </c>
      <c r="C14" s="27" t="n">
        <v>46063</v>
      </c>
      <c r="D14" s="8" t="inlineStr">
        <is>
          <t>2026-02</t>
        </is>
      </c>
      <c r="E14" s="8" t="b">
        <v>1</v>
      </c>
      <c r="F14" s="8" t="b">
        <v>1</v>
      </c>
      <c r="G14" s="8" t="b">
        <v>1</v>
      </c>
      <c r="H14" s="8" t="b">
        <v>1</v>
      </c>
      <c r="I14" s="8" t="b">
        <v>1</v>
      </c>
      <c r="J14" s="8" t="b">
        <v>1</v>
      </c>
      <c r="K14" s="8" t="b">
        <v>0</v>
      </c>
      <c r="L14" s="8" t="b">
        <v>1</v>
      </c>
      <c r="M14" s="8" t="b">
        <v>1</v>
      </c>
      <c r="N14" s="8" t="b">
        <v>1</v>
      </c>
      <c r="O14" s="8" t="n">
        <v>7</v>
      </c>
      <c r="P14" s="8" t="n">
        <v>6</v>
      </c>
      <c r="Q14" s="8" t="n">
        <v>1</v>
      </c>
      <c r="R14" s="8" t="n"/>
      <c r="S14" s="27" t="n">
        <v>46172</v>
      </c>
      <c r="T14" s="8" t="b">
        <v>1</v>
      </c>
      <c r="U14" s="8" t="b">
        <v>0</v>
      </c>
      <c r="V14" s="8" t="n">
        <v>0</v>
      </c>
      <c r="W14" s="28" t="n">
        <v>0</v>
      </c>
      <c r="X14" s="8" t="inlineStr">
        <is>
          <t>cus_RR29SxTsdXcDRw</t>
        </is>
      </c>
      <c r="Y14" s="28" t="n">
        <v>108.62</v>
      </c>
      <c r="Z14" s="8" t="inlineStr">
        <is>
          <t>active</t>
        </is>
      </c>
    </row>
    <row r="15">
      <c r="A15" s="12" t="inlineStr">
        <is>
          <t>b5974616-7dcd-4f9f-91f7-d27f886d343d</t>
        </is>
      </c>
      <c r="B15" s="17" t="inlineStr">
        <is>
          <t>(name not on file)</t>
        </is>
      </c>
      <c r="C15" s="29" t="n">
        <v>46064</v>
      </c>
      <c r="D15" s="12" t="inlineStr">
        <is>
          <t>2026-02</t>
        </is>
      </c>
      <c r="E15" s="12" t="b">
        <v>1</v>
      </c>
      <c r="F15" s="12" t="b">
        <v>1</v>
      </c>
      <c r="G15" s="12" t="b">
        <v>1</v>
      </c>
      <c r="H15" s="12" t="b">
        <v>1</v>
      </c>
      <c r="I15" s="12" t="b">
        <v>1</v>
      </c>
      <c r="J15" s="12" t="b">
        <v>0</v>
      </c>
      <c r="K15" s="12" t="b">
        <v>1</v>
      </c>
      <c r="L15" s="12" t="b">
        <v>1</v>
      </c>
      <c r="M15" s="12" t="b">
        <v>1</v>
      </c>
      <c r="N15" s="12" t="b">
        <v>1</v>
      </c>
      <c r="O15" s="12" t="n">
        <v>1</v>
      </c>
      <c r="P15" s="12" t="n">
        <v>1</v>
      </c>
      <c r="Q15" s="12" t="n">
        <v>0</v>
      </c>
      <c r="R15" s="12" t="n"/>
      <c r="S15" s="29" t="n">
        <v>46064</v>
      </c>
      <c r="T15" s="12" t="b">
        <v>1</v>
      </c>
      <c r="U15" s="12" t="b">
        <v>0</v>
      </c>
      <c r="V15" s="12" t="n">
        <v>0</v>
      </c>
      <c r="W15" s="30" t="n">
        <v>0</v>
      </c>
      <c r="X15" s="12" t="n"/>
      <c r="Y15" s="30" t="n"/>
      <c r="Z15" s="12" t="n"/>
    </row>
    <row r="16">
      <c r="A16" s="8" t="inlineStr">
        <is>
          <t>07a8e1fa-f005-4cf5-9182-f1d48d82fa2e</t>
        </is>
      </c>
      <c r="B16" s="8" t="inlineStr">
        <is>
          <t>Emporio African Braids</t>
        </is>
      </c>
      <c r="C16" s="27" t="n">
        <v>46065</v>
      </c>
      <c r="D16" s="8" t="inlineStr">
        <is>
          <t>2026-02</t>
        </is>
      </c>
      <c r="E16" s="8" t="b">
        <v>1</v>
      </c>
      <c r="F16" s="8" t="b">
        <v>1</v>
      </c>
      <c r="G16" s="8" t="b">
        <v>1</v>
      </c>
      <c r="H16" s="8" t="b">
        <v>1</v>
      </c>
      <c r="I16" s="8" t="b">
        <v>1</v>
      </c>
      <c r="J16" s="8" t="b">
        <v>1</v>
      </c>
      <c r="K16" s="8" t="b">
        <v>0</v>
      </c>
      <c r="L16" s="8" t="b">
        <v>1</v>
      </c>
      <c r="M16" s="8" t="b">
        <v>1</v>
      </c>
      <c r="N16" s="8" t="b">
        <v>1</v>
      </c>
      <c r="O16" s="8" t="n">
        <v>67</v>
      </c>
      <c r="P16" s="8" t="n">
        <v>57</v>
      </c>
      <c r="Q16" s="8" t="n">
        <v>10</v>
      </c>
      <c r="R16" s="8" t="n"/>
      <c r="S16" s="27" t="n">
        <v>46237</v>
      </c>
      <c r="T16" s="8" t="b">
        <v>1</v>
      </c>
      <c r="U16" s="8" t="b">
        <v>1</v>
      </c>
      <c r="V16" s="8" t="n">
        <v>40</v>
      </c>
      <c r="W16" s="28" t="n">
        <v>1803.6</v>
      </c>
      <c r="X16" s="8" t="inlineStr">
        <is>
          <t>cus_Q7pV871MpzSuGB</t>
        </is>
      </c>
      <c r="Y16" s="28" t="n">
        <v>50</v>
      </c>
      <c r="Z16" s="8" t="inlineStr">
        <is>
          <t>active</t>
        </is>
      </c>
    </row>
    <row r="17">
      <c r="A17" s="12" t="inlineStr">
        <is>
          <t>4ebee20a-db99-4e09-b3f0-afa88cb49861</t>
        </is>
      </c>
      <c r="B17" s="12" t="inlineStr">
        <is>
          <t>Adel braids</t>
        </is>
      </c>
      <c r="C17" s="29" t="n">
        <v>46066</v>
      </c>
      <c r="D17" s="12" t="inlineStr">
        <is>
          <t>2026-02</t>
        </is>
      </c>
      <c r="E17" s="12" t="b">
        <v>1</v>
      </c>
      <c r="F17" s="12" t="b">
        <v>1</v>
      </c>
      <c r="G17" s="12" t="b">
        <v>1</v>
      </c>
      <c r="H17" s="12" t="b">
        <v>1</v>
      </c>
      <c r="I17" s="12" t="b">
        <v>1</v>
      </c>
      <c r="J17" s="12" t="b">
        <v>1</v>
      </c>
      <c r="K17" s="12" t="b">
        <v>0</v>
      </c>
      <c r="L17" s="12" t="b">
        <v>1</v>
      </c>
      <c r="M17" s="12" t="b">
        <v>1</v>
      </c>
      <c r="N17" s="12" t="b">
        <v>1</v>
      </c>
      <c r="O17" s="12" t="n">
        <v>19</v>
      </c>
      <c r="P17" s="12" t="n">
        <v>17</v>
      </c>
      <c r="Q17" s="12" t="n">
        <v>2</v>
      </c>
      <c r="R17" s="12" t="n"/>
      <c r="S17" s="29" t="n">
        <v>46220</v>
      </c>
      <c r="T17" s="12" t="b">
        <v>1</v>
      </c>
      <c r="U17" s="12" t="b">
        <v>1</v>
      </c>
      <c r="V17" s="12" t="n">
        <v>9</v>
      </c>
      <c r="W17" s="30" t="n">
        <v>396</v>
      </c>
      <c r="X17" s="12" t="inlineStr">
        <is>
          <t>AzqH9DV2H2LEsW8T</t>
        </is>
      </c>
      <c r="Y17" s="30" t="n">
        <v>199</v>
      </c>
      <c r="Z17" s="12" t="inlineStr">
        <is>
          <t>active</t>
        </is>
      </c>
    </row>
    <row r="18">
      <c r="A18" s="8" t="inlineStr">
        <is>
          <t>2223edcb-30e6-4131-ad63-42d5a3b2d50f</t>
        </is>
      </c>
      <c r="B18" s="18" t="inlineStr">
        <is>
          <t>(name not on file)</t>
        </is>
      </c>
      <c r="C18" s="27" t="n">
        <v>46066</v>
      </c>
      <c r="D18" s="8" t="inlineStr">
        <is>
          <t>2026-02</t>
        </is>
      </c>
      <c r="E18" s="8" t="b">
        <v>1</v>
      </c>
      <c r="F18" s="8" t="b">
        <v>1</v>
      </c>
      <c r="G18" s="8" t="b">
        <v>1</v>
      </c>
      <c r="H18" s="8" t="b">
        <v>1</v>
      </c>
      <c r="I18" s="8" t="b">
        <v>1</v>
      </c>
      <c r="J18" s="8" t="b">
        <v>0</v>
      </c>
      <c r="K18" s="8" t="b">
        <v>1</v>
      </c>
      <c r="L18" s="8" t="b">
        <v>1</v>
      </c>
      <c r="M18" s="8" t="b">
        <v>1</v>
      </c>
      <c r="N18" s="8" t="b">
        <v>1</v>
      </c>
      <c r="O18" s="8" t="n">
        <v>8</v>
      </c>
      <c r="P18" s="8" t="n">
        <v>8</v>
      </c>
      <c r="Q18" s="8" t="n">
        <v>0</v>
      </c>
      <c r="R18" s="8" t="n"/>
      <c r="S18" s="27" t="n">
        <v>46067</v>
      </c>
      <c r="T18" s="8" t="b">
        <v>1</v>
      </c>
      <c r="U18" s="8" t="b">
        <v>0</v>
      </c>
      <c r="V18" s="8" t="n">
        <v>1</v>
      </c>
      <c r="W18" s="28" t="n">
        <v>90</v>
      </c>
      <c r="X18" s="8" t="n"/>
      <c r="Y18" s="28" t="n"/>
      <c r="Z18" s="8" t="n"/>
    </row>
    <row r="19">
      <c r="A19" s="12" t="inlineStr">
        <is>
          <t>383a7fdd-b410-414b-a3db-82c1774616fb</t>
        </is>
      </c>
      <c r="B19" s="12" t="inlineStr">
        <is>
          <t>Hair By Camille</t>
        </is>
      </c>
      <c r="C19" s="29" t="n">
        <v>46070</v>
      </c>
      <c r="D19" s="12" t="inlineStr">
        <is>
          <t>2026-02</t>
        </is>
      </c>
      <c r="E19" s="12" t="b">
        <v>1</v>
      </c>
      <c r="F19" s="12" t="b">
        <v>1</v>
      </c>
      <c r="G19" s="12" t="b">
        <v>1</v>
      </c>
      <c r="H19" s="12" t="b">
        <v>1</v>
      </c>
      <c r="I19" s="12" t="b">
        <v>1</v>
      </c>
      <c r="J19" s="12" t="b">
        <v>1</v>
      </c>
      <c r="K19" s="12" t="b">
        <v>0</v>
      </c>
      <c r="L19" s="12" t="b">
        <v>1</v>
      </c>
      <c r="M19" s="12" t="b">
        <v>1</v>
      </c>
      <c r="N19" s="12" t="b">
        <v>1</v>
      </c>
      <c r="O19" s="12" t="n">
        <v>192</v>
      </c>
      <c r="P19" s="12" t="n">
        <v>48</v>
      </c>
      <c r="Q19" s="12" t="n">
        <v>65</v>
      </c>
      <c r="R19" s="12" t="n"/>
      <c r="S19" s="29" t="n">
        <v>46237</v>
      </c>
      <c r="T19" s="12" t="b">
        <v>1</v>
      </c>
      <c r="U19" s="12" t="b">
        <v>1</v>
      </c>
      <c r="V19" s="12" t="n">
        <v>0</v>
      </c>
      <c r="W19" s="30" t="n">
        <v>0</v>
      </c>
      <c r="X19" s="12" t="inlineStr">
        <is>
          <t>cus_RiJ2uhBiBlg9ZH</t>
        </is>
      </c>
      <c r="Y19" s="30" t="n">
        <v>179</v>
      </c>
      <c r="Z19" s="12" t="inlineStr">
        <is>
          <t>active</t>
        </is>
      </c>
    </row>
    <row r="20">
      <c r="A20" s="8" t="inlineStr">
        <is>
          <t>3be18092-1615-4c48-915c-f83e8ba38950</t>
        </is>
      </c>
      <c r="B20" s="18" t="inlineStr">
        <is>
          <t>(name not on file)</t>
        </is>
      </c>
      <c r="C20" s="27" t="n">
        <v>46071</v>
      </c>
      <c r="D20" s="8" t="inlineStr">
        <is>
          <t>2026-02</t>
        </is>
      </c>
      <c r="E20" s="8" t="b">
        <v>1</v>
      </c>
      <c r="F20" s="8" t="b">
        <v>1</v>
      </c>
      <c r="G20" s="8" t="b">
        <v>1</v>
      </c>
      <c r="H20" s="8" t="b">
        <v>1</v>
      </c>
      <c r="I20" s="8" t="b">
        <v>1</v>
      </c>
      <c r="J20" s="8" t="b">
        <v>0</v>
      </c>
      <c r="K20" s="8" t="b">
        <v>1</v>
      </c>
      <c r="L20" s="8" t="b">
        <v>1</v>
      </c>
      <c r="M20" s="8" t="b">
        <v>1</v>
      </c>
      <c r="N20" s="8" t="b">
        <v>1</v>
      </c>
      <c r="O20" s="8" t="n">
        <v>3</v>
      </c>
      <c r="P20" s="8" t="n">
        <v>3</v>
      </c>
      <c r="Q20" s="8" t="n">
        <v>0</v>
      </c>
      <c r="R20" s="8" t="n"/>
      <c r="S20" s="27" t="n">
        <v>46071</v>
      </c>
      <c r="T20" s="8" t="b">
        <v>1</v>
      </c>
      <c r="U20" s="8" t="b">
        <v>0</v>
      </c>
      <c r="V20" s="8" t="n">
        <v>0</v>
      </c>
      <c r="W20" s="28" t="n">
        <v>0</v>
      </c>
      <c r="X20" s="8" t="n"/>
      <c r="Y20" s="28" t="n"/>
      <c r="Z20" s="8" t="n"/>
    </row>
    <row r="21">
      <c r="A21" s="12" t="inlineStr">
        <is>
          <t>cee7df4b-ba3b-43df-858d-9304187b4723</t>
        </is>
      </c>
      <c r="B21" s="17" t="inlineStr">
        <is>
          <t>(name not on file)</t>
        </is>
      </c>
      <c r="C21" s="29" t="n">
        <v>46072</v>
      </c>
      <c r="D21" s="12" t="inlineStr">
        <is>
          <t>2026-02</t>
        </is>
      </c>
      <c r="E21" s="12" t="b">
        <v>1</v>
      </c>
      <c r="F21" s="12" t="b">
        <v>1</v>
      </c>
      <c r="G21" s="12" t="b">
        <v>1</v>
      </c>
      <c r="H21" s="12" t="b">
        <v>1</v>
      </c>
      <c r="I21" s="12" t="b">
        <v>1</v>
      </c>
      <c r="J21" s="12" t="b">
        <v>0</v>
      </c>
      <c r="K21" s="12" t="b">
        <v>1</v>
      </c>
      <c r="L21" s="12" t="b">
        <v>1</v>
      </c>
      <c r="M21" s="12" t="b">
        <v>1</v>
      </c>
      <c r="N21" s="12" t="b">
        <v>1</v>
      </c>
      <c r="O21" s="12" t="n">
        <v>2</v>
      </c>
      <c r="P21" s="12" t="n">
        <v>2</v>
      </c>
      <c r="Q21" s="12" t="n">
        <v>0</v>
      </c>
      <c r="R21" s="12" t="n"/>
      <c r="S21" s="29" t="n">
        <v>46073</v>
      </c>
      <c r="T21" s="12" t="b">
        <v>1</v>
      </c>
      <c r="U21" s="12" t="b">
        <v>0</v>
      </c>
      <c r="V21" s="12" t="n">
        <v>0</v>
      </c>
      <c r="W21" s="30" t="n">
        <v>0</v>
      </c>
      <c r="X21" s="12" t="n"/>
      <c r="Y21" s="30" t="n"/>
      <c r="Z21" s="12" t="n"/>
    </row>
    <row r="22">
      <c r="A22" s="8" t="inlineStr">
        <is>
          <t>fa2619ea-5509-4815-8b9e-a933e26321bf</t>
        </is>
      </c>
      <c r="B22" s="18" t="inlineStr">
        <is>
          <t>(name not on file)</t>
        </is>
      </c>
      <c r="C22" s="27" t="n">
        <v>46073</v>
      </c>
      <c r="D22" s="8" t="inlineStr">
        <is>
          <t>2026-02</t>
        </is>
      </c>
      <c r="E22" s="8" t="b">
        <v>1</v>
      </c>
      <c r="F22" s="8" t="b">
        <v>1</v>
      </c>
      <c r="G22" s="8" t="b">
        <v>1</v>
      </c>
      <c r="H22" s="8" t="b">
        <v>1</v>
      </c>
      <c r="I22" s="8" t="b">
        <v>1</v>
      </c>
      <c r="J22" s="8" t="b">
        <v>0</v>
      </c>
      <c r="K22" s="8" t="b">
        <v>1</v>
      </c>
      <c r="L22" s="8" t="b">
        <v>1</v>
      </c>
      <c r="M22" s="8" t="b">
        <v>1</v>
      </c>
      <c r="N22" s="8" t="b">
        <v>1</v>
      </c>
      <c r="O22" s="8" t="n">
        <v>0</v>
      </c>
      <c r="P22" s="8" t="n">
        <v>0</v>
      </c>
      <c r="Q22" s="8" t="n">
        <v>0</v>
      </c>
      <c r="R22" s="8" t="n"/>
      <c r="S22" s="27" t="n"/>
      <c r="T22" s="8" t="b">
        <v>0</v>
      </c>
      <c r="U22" s="8" t="b">
        <v>0</v>
      </c>
      <c r="V22" s="8" t="n">
        <v>0</v>
      </c>
      <c r="W22" s="28" t="n">
        <v>0</v>
      </c>
      <c r="X22" s="8" t="n"/>
      <c r="Y22" s="28" t="n"/>
      <c r="Z22" s="8" t="n"/>
    </row>
    <row r="23">
      <c r="A23" s="12" t="inlineStr">
        <is>
          <t>54a27121-0b23-4ed0-9153-aec06840a7f7</t>
        </is>
      </c>
      <c r="B23" s="12" t="inlineStr">
        <is>
          <t>it's Waxing &amp; Threading</t>
        </is>
      </c>
      <c r="C23" s="29" t="n">
        <v>46074</v>
      </c>
      <c r="D23" s="12" t="inlineStr">
        <is>
          <t>2026-02</t>
        </is>
      </c>
      <c r="E23" s="12" t="b">
        <v>1</v>
      </c>
      <c r="F23" s="12" t="b">
        <v>1</v>
      </c>
      <c r="G23" s="12" t="b">
        <v>1</v>
      </c>
      <c r="H23" s="12" t="b">
        <v>1</v>
      </c>
      <c r="I23" s="12" t="b">
        <v>1</v>
      </c>
      <c r="J23" s="12" t="b">
        <v>0</v>
      </c>
      <c r="K23" s="12" t="b">
        <v>1</v>
      </c>
      <c r="L23" s="12" t="b">
        <v>1</v>
      </c>
      <c r="M23" s="12" t="b">
        <v>1</v>
      </c>
      <c r="N23" s="12" t="b">
        <v>1</v>
      </c>
      <c r="O23" s="12" t="n">
        <v>106</v>
      </c>
      <c r="P23" s="12" t="n">
        <v>76</v>
      </c>
      <c r="Q23" s="12" t="n">
        <v>30</v>
      </c>
      <c r="R23" s="12" t="n"/>
      <c r="S23" s="29" t="n">
        <v>46235</v>
      </c>
      <c r="T23" s="12" t="b">
        <v>1</v>
      </c>
      <c r="U23" s="12" t="b">
        <v>1</v>
      </c>
      <c r="V23" s="12" t="n">
        <v>14</v>
      </c>
      <c r="W23" s="30" t="n">
        <v>903</v>
      </c>
      <c r="X23" s="12" t="inlineStr">
        <is>
          <t>16AflPVAZLsIpMXS4</t>
        </is>
      </c>
      <c r="Y23" s="30" t="n">
        <v>1250.07</v>
      </c>
      <c r="Z23" s="12" t="inlineStr">
        <is>
          <t>active</t>
        </is>
      </c>
    </row>
    <row r="24">
      <c r="A24" s="8" t="inlineStr">
        <is>
          <t>11e81849-6bde-4d33-855d-927f443698bd</t>
        </is>
      </c>
      <c r="B24" s="8" t="inlineStr">
        <is>
          <t>Miracle hands braiding Studio</t>
        </is>
      </c>
      <c r="C24" s="27" t="n">
        <v>46077</v>
      </c>
      <c r="D24" s="8" t="inlineStr">
        <is>
          <t>2026-02</t>
        </is>
      </c>
      <c r="E24" s="8" t="b">
        <v>1</v>
      </c>
      <c r="F24" s="8" t="b">
        <v>1</v>
      </c>
      <c r="G24" s="8" t="b">
        <v>1</v>
      </c>
      <c r="H24" s="8" t="b">
        <v>1</v>
      </c>
      <c r="I24" s="8" t="b">
        <v>1</v>
      </c>
      <c r="J24" s="8" t="b">
        <v>0</v>
      </c>
      <c r="K24" s="8" t="b">
        <v>1</v>
      </c>
      <c r="L24" s="8" t="b">
        <v>1</v>
      </c>
      <c r="M24" s="8" t="b">
        <v>1</v>
      </c>
      <c r="N24" s="8" t="b">
        <v>1</v>
      </c>
      <c r="O24" s="8" t="n">
        <v>52</v>
      </c>
      <c r="P24" s="8" t="n">
        <v>33</v>
      </c>
      <c r="Q24" s="8" t="n">
        <v>19</v>
      </c>
      <c r="R24" s="8" t="n"/>
      <c r="S24" s="27" t="n">
        <v>46237</v>
      </c>
      <c r="T24" s="8" t="b">
        <v>1</v>
      </c>
      <c r="U24" s="8" t="b">
        <v>1</v>
      </c>
      <c r="V24" s="8" t="n">
        <v>0</v>
      </c>
      <c r="W24" s="28" t="n">
        <v>0</v>
      </c>
      <c r="X24" s="8" t="inlineStr">
        <is>
          <t>cus_PU3NzApnWkMxob</t>
        </is>
      </c>
      <c r="Y24" s="28" t="n">
        <v>150</v>
      </c>
      <c r="Z24" s="8" t="inlineStr">
        <is>
          <t>active</t>
        </is>
      </c>
    </row>
    <row r="25">
      <c r="A25" s="12" t="inlineStr">
        <is>
          <t>1b26e354-eb83-433b-a77c-7f2b3f9355f3</t>
        </is>
      </c>
      <c r="B25" s="17" t="inlineStr">
        <is>
          <t>(name not on file)</t>
        </is>
      </c>
      <c r="C25" s="29" t="n">
        <v>46078</v>
      </c>
      <c r="D25" s="12" t="inlineStr">
        <is>
          <t>2026-02</t>
        </is>
      </c>
      <c r="E25" s="12" t="b">
        <v>1</v>
      </c>
      <c r="F25" s="12" t="b">
        <v>1</v>
      </c>
      <c r="G25" s="12" t="b">
        <v>1</v>
      </c>
      <c r="H25" s="12" t="b">
        <v>1</v>
      </c>
      <c r="I25" s="12" t="b">
        <v>1</v>
      </c>
      <c r="J25" s="12" t="b">
        <v>0</v>
      </c>
      <c r="K25" s="12" t="b">
        <v>1</v>
      </c>
      <c r="L25" s="12" t="b">
        <v>1</v>
      </c>
      <c r="M25" s="12" t="b">
        <v>1</v>
      </c>
      <c r="N25" s="12" t="b">
        <v>1</v>
      </c>
      <c r="O25" s="12" t="n">
        <v>21</v>
      </c>
      <c r="P25" s="12" t="n">
        <v>21</v>
      </c>
      <c r="Q25" s="12" t="n">
        <v>0</v>
      </c>
      <c r="R25" s="12" t="n"/>
      <c r="S25" s="29" t="n">
        <v>46079</v>
      </c>
      <c r="T25" s="12" t="b">
        <v>1</v>
      </c>
      <c r="U25" s="12" t="b">
        <v>0</v>
      </c>
      <c r="V25" s="12" t="n">
        <v>0</v>
      </c>
      <c r="W25" s="30" t="n">
        <v>0</v>
      </c>
      <c r="X25" s="12" t="n"/>
      <c r="Y25" s="30" t="n"/>
      <c r="Z25" s="12" t="n"/>
    </row>
    <row r="26">
      <c r="A26" s="8" t="inlineStr">
        <is>
          <t>bdcb9096-7934-440c-bc24-57268f63b08b</t>
        </is>
      </c>
      <c r="B26" s="8" t="inlineStr">
        <is>
          <t>Vida Beauty Bar</t>
        </is>
      </c>
      <c r="C26" s="27" t="n">
        <v>46078</v>
      </c>
      <c r="D26" s="8" t="inlineStr">
        <is>
          <t>2026-02</t>
        </is>
      </c>
      <c r="E26" s="8" t="b">
        <v>1</v>
      </c>
      <c r="F26" s="8" t="b">
        <v>1</v>
      </c>
      <c r="G26" s="8" t="b">
        <v>1</v>
      </c>
      <c r="H26" s="8" t="b">
        <v>1</v>
      </c>
      <c r="I26" s="8" t="b">
        <v>1</v>
      </c>
      <c r="J26" s="8" t="b">
        <v>0</v>
      </c>
      <c r="K26" s="8" t="b">
        <v>1</v>
      </c>
      <c r="L26" s="8" t="b">
        <v>1</v>
      </c>
      <c r="M26" s="8" t="b">
        <v>1</v>
      </c>
      <c r="N26" s="8" t="b">
        <v>1</v>
      </c>
      <c r="O26" s="8" t="n">
        <v>694</v>
      </c>
      <c r="P26" s="8" t="n">
        <v>191</v>
      </c>
      <c r="Q26" s="8" t="n">
        <v>503</v>
      </c>
      <c r="R26" s="8" t="n"/>
      <c r="S26" s="27" t="n">
        <v>46237</v>
      </c>
      <c r="T26" s="8" t="b">
        <v>1</v>
      </c>
      <c r="U26" s="8" t="b">
        <v>1</v>
      </c>
      <c r="V26" s="8" t="n">
        <v>0</v>
      </c>
      <c r="W26" s="28" t="n">
        <v>0</v>
      </c>
      <c r="X26" s="8" t="inlineStr">
        <is>
          <t>16BXdwUvalf4c3pdW</t>
        </is>
      </c>
      <c r="Y26" s="28" t="n">
        <v>199</v>
      </c>
      <c r="Z26" s="8" t="inlineStr">
        <is>
          <t>active</t>
        </is>
      </c>
    </row>
    <row r="27">
      <c r="A27" s="12" t="inlineStr">
        <is>
          <t>3a38f3a3-b66e-4f62-b841-3e9ce14350ad</t>
        </is>
      </c>
      <c r="B27" s="12" t="inlineStr">
        <is>
          <t>Golden Hair Braiding</t>
        </is>
      </c>
      <c r="C27" s="29" t="n">
        <v>46079</v>
      </c>
      <c r="D27" s="12" t="inlineStr">
        <is>
          <t>2026-02</t>
        </is>
      </c>
      <c r="E27" s="12" t="b">
        <v>1</v>
      </c>
      <c r="F27" s="12" t="b">
        <v>1</v>
      </c>
      <c r="G27" s="12" t="b">
        <v>1</v>
      </c>
      <c r="H27" s="12" t="b">
        <v>1</v>
      </c>
      <c r="I27" s="12" t="b">
        <v>1</v>
      </c>
      <c r="J27" s="12" t="b">
        <v>0</v>
      </c>
      <c r="K27" s="12" t="b">
        <v>1</v>
      </c>
      <c r="L27" s="12" t="b">
        <v>1</v>
      </c>
      <c r="M27" s="12" t="b">
        <v>1</v>
      </c>
      <c r="N27" s="12" t="b">
        <v>1</v>
      </c>
      <c r="O27" s="12" t="n">
        <v>128</v>
      </c>
      <c r="P27" s="12" t="n">
        <v>128</v>
      </c>
      <c r="Q27" s="12" t="n">
        <v>0</v>
      </c>
      <c r="R27" s="12" t="n"/>
      <c r="S27" s="29" t="n">
        <v>46234</v>
      </c>
      <c r="T27" s="12" t="b">
        <v>1</v>
      </c>
      <c r="U27" s="12" t="b">
        <v>1</v>
      </c>
      <c r="V27" s="12" t="n">
        <v>0</v>
      </c>
      <c r="W27" s="30" t="n">
        <v>0</v>
      </c>
      <c r="X27" s="12" t="inlineStr">
        <is>
          <t>AzqO4bV13axpA8JbC</t>
        </is>
      </c>
      <c r="Y27" s="30" t="n">
        <v>200</v>
      </c>
      <c r="Z27" s="12" t="inlineStr">
        <is>
          <t>active</t>
        </is>
      </c>
    </row>
    <row r="28">
      <c r="A28" s="8" t="inlineStr">
        <is>
          <t>04d19914-49c8-44f2-b251-5fbd643a2300</t>
        </is>
      </c>
      <c r="B28" s="8" t="inlineStr">
        <is>
          <t>Jamila African Hair Braiding</t>
        </is>
      </c>
      <c r="C28" s="27" t="n">
        <v>46079</v>
      </c>
      <c r="D28" s="8" t="inlineStr">
        <is>
          <t>2026-02</t>
        </is>
      </c>
      <c r="E28" s="8" t="b">
        <v>1</v>
      </c>
      <c r="F28" s="8" t="b">
        <v>1</v>
      </c>
      <c r="G28" s="8" t="b">
        <v>1</v>
      </c>
      <c r="H28" s="8" t="b">
        <v>1</v>
      </c>
      <c r="I28" s="8" t="b">
        <v>1</v>
      </c>
      <c r="J28" s="8" t="b">
        <v>0</v>
      </c>
      <c r="K28" s="8" t="b">
        <v>1</v>
      </c>
      <c r="L28" s="8" t="b">
        <v>1</v>
      </c>
      <c r="M28" s="8" t="b">
        <v>1</v>
      </c>
      <c r="N28" s="8" t="b">
        <v>1</v>
      </c>
      <c r="O28" s="8" t="n">
        <v>114</v>
      </c>
      <c r="P28" s="8" t="n">
        <v>114</v>
      </c>
      <c r="Q28" s="8" t="n">
        <v>0</v>
      </c>
      <c r="R28" s="8" t="n"/>
      <c r="S28" s="27" t="n">
        <v>46237</v>
      </c>
      <c r="T28" s="8" t="b">
        <v>1</v>
      </c>
      <c r="U28" s="8" t="b">
        <v>1</v>
      </c>
      <c r="V28" s="8" t="n">
        <v>0</v>
      </c>
      <c r="W28" s="28" t="n">
        <v>0</v>
      </c>
      <c r="X28" s="8" t="inlineStr">
        <is>
          <t>AzqbodV0xNjaWDWp0</t>
        </is>
      </c>
      <c r="Y28" s="28" t="n">
        <v>150</v>
      </c>
      <c r="Z28" s="8" t="inlineStr">
        <is>
          <t>active</t>
        </is>
      </c>
    </row>
    <row r="29">
      <c r="A29" s="12" t="inlineStr">
        <is>
          <t>65dd98d3-43be-49f3-93f4-ef35117d66b3</t>
        </is>
      </c>
      <c r="B29" s="17" t="inlineStr">
        <is>
          <t>(name not on file)</t>
        </is>
      </c>
      <c r="C29" s="29" t="n">
        <v>46080</v>
      </c>
      <c r="D29" s="12" t="inlineStr">
        <is>
          <t>2026-02</t>
        </is>
      </c>
      <c r="E29" s="12" t="b">
        <v>1</v>
      </c>
      <c r="F29" s="12" t="b">
        <v>1</v>
      </c>
      <c r="G29" s="12" t="b">
        <v>1</v>
      </c>
      <c r="H29" s="12" t="b">
        <v>1</v>
      </c>
      <c r="I29" s="12" t="b">
        <v>1</v>
      </c>
      <c r="J29" s="12" t="b">
        <v>0</v>
      </c>
      <c r="K29" s="12" t="b">
        <v>1</v>
      </c>
      <c r="L29" s="12" t="b">
        <v>1</v>
      </c>
      <c r="M29" s="12" t="b">
        <v>1</v>
      </c>
      <c r="N29" s="12" t="b">
        <v>1</v>
      </c>
      <c r="O29" s="12" t="n">
        <v>14</v>
      </c>
      <c r="P29" s="12" t="n">
        <v>14</v>
      </c>
      <c r="Q29" s="12" t="n">
        <v>0</v>
      </c>
      <c r="R29" s="12" t="n"/>
      <c r="S29" s="29" t="n">
        <v>46083</v>
      </c>
      <c r="T29" s="12" t="b">
        <v>1</v>
      </c>
      <c r="U29" s="12" t="b">
        <v>0</v>
      </c>
      <c r="V29" s="12" t="n">
        <v>1</v>
      </c>
      <c r="W29" s="30" t="n">
        <v>55</v>
      </c>
      <c r="X29" s="12" t="n"/>
      <c r="Y29" s="30" t="n"/>
      <c r="Z29" s="12" t="n"/>
    </row>
    <row r="30">
      <c r="A30" s="8" t="inlineStr">
        <is>
          <t>059e2eba-670d-4618-bd84-63b3a685bad1</t>
        </is>
      </c>
      <c r="B30" s="8" t="inlineStr">
        <is>
          <t>Naomi's African Hair Braiding Salon</t>
        </is>
      </c>
      <c r="C30" s="27" t="n">
        <v>46080</v>
      </c>
      <c r="D30" s="8" t="inlineStr">
        <is>
          <t>2026-02</t>
        </is>
      </c>
      <c r="E30" s="8" t="b">
        <v>1</v>
      </c>
      <c r="F30" s="8" t="b">
        <v>1</v>
      </c>
      <c r="G30" s="8" t="b">
        <v>1</v>
      </c>
      <c r="H30" s="8" t="b">
        <v>1</v>
      </c>
      <c r="I30" s="8" t="b">
        <v>1</v>
      </c>
      <c r="J30" s="8" t="b">
        <v>0</v>
      </c>
      <c r="K30" s="8" t="b">
        <v>0</v>
      </c>
      <c r="L30" s="8" t="b">
        <v>0</v>
      </c>
      <c r="M30" s="8" t="b">
        <v>0</v>
      </c>
      <c r="N30" s="8" t="b">
        <v>0</v>
      </c>
      <c r="O30" s="8" t="n">
        <v>0</v>
      </c>
      <c r="P30" s="8" t="n">
        <v>0</v>
      </c>
      <c r="Q30" s="8" t="n">
        <v>0</v>
      </c>
      <c r="R30" s="8" t="n"/>
      <c r="S30" s="27" t="n"/>
      <c r="T30" s="8" t="b">
        <v>0</v>
      </c>
      <c r="U30" s="8" t="b">
        <v>0</v>
      </c>
      <c r="V30" s="8" t="n">
        <v>0</v>
      </c>
      <c r="W30" s="28" t="n">
        <v>0</v>
      </c>
      <c r="X30" s="8" t="inlineStr">
        <is>
          <t>cus_PjQE46ZlgRsQvY</t>
        </is>
      </c>
      <c r="Y30" s="28" t="n">
        <v>100</v>
      </c>
      <c r="Z30" s="8" t="inlineStr">
        <is>
          <t>active</t>
        </is>
      </c>
    </row>
    <row r="31">
      <c r="A31" s="12" t="inlineStr">
        <is>
          <t>b7c19608-d68c-4f1d-860d-ff6f70d4a564</t>
        </is>
      </c>
      <c r="B31" s="12" t="inlineStr">
        <is>
          <t>The Moon Beauty | Facial Spa</t>
        </is>
      </c>
      <c r="C31" s="29" t="n">
        <v>46083</v>
      </c>
      <c r="D31" s="12" t="inlineStr">
        <is>
          <t>2026-03</t>
        </is>
      </c>
      <c r="E31" s="12" t="b">
        <v>1</v>
      </c>
      <c r="F31" s="12" t="b">
        <v>1</v>
      </c>
      <c r="G31" s="12" t="b">
        <v>0</v>
      </c>
      <c r="H31" s="12" t="b">
        <v>0</v>
      </c>
      <c r="I31" s="12" t="b">
        <v>0</v>
      </c>
      <c r="J31" s="12" t="b">
        <v>0</v>
      </c>
      <c r="K31" s="12" t="b">
        <v>0</v>
      </c>
      <c r="L31" s="12" t="b">
        <v>0</v>
      </c>
      <c r="M31" s="12" t="b">
        <v>0</v>
      </c>
      <c r="N31" s="12" t="b">
        <v>0</v>
      </c>
      <c r="O31" s="12" t="n">
        <v>0</v>
      </c>
      <c r="P31" s="12" t="n">
        <v>0</v>
      </c>
      <c r="Q31" s="12" t="n">
        <v>0</v>
      </c>
      <c r="R31" s="12" t="n"/>
      <c r="S31" s="29" t="n"/>
      <c r="T31" s="12" t="b">
        <v>0</v>
      </c>
      <c r="U31" s="12" t="b">
        <v>0</v>
      </c>
      <c r="V31" s="12" t="n">
        <v>0</v>
      </c>
      <c r="W31" s="30" t="n">
        <v>0</v>
      </c>
      <c r="X31" s="12" t="inlineStr">
        <is>
          <t>cus_Q265iKOdiQIKnz</t>
        </is>
      </c>
      <c r="Y31" s="30" t="n">
        <v>200</v>
      </c>
      <c r="Z31" s="12" t="inlineStr">
        <is>
          <t>active</t>
        </is>
      </c>
    </row>
    <row r="32">
      <c r="A32" s="8" t="inlineStr">
        <is>
          <t>7c02b584-78b6-4c2e-b105-a8f6f51ad7f7</t>
        </is>
      </c>
      <c r="B32" s="8" t="inlineStr">
        <is>
          <t>The Sculpt Spa</t>
        </is>
      </c>
      <c r="C32" s="27" t="n">
        <v>46083</v>
      </c>
      <c r="D32" s="8" t="inlineStr">
        <is>
          <t>2026-03</t>
        </is>
      </c>
      <c r="E32" s="8" t="b">
        <v>1</v>
      </c>
      <c r="F32" s="8" t="b">
        <v>1</v>
      </c>
      <c r="G32" s="8" t="b">
        <v>1</v>
      </c>
      <c r="H32" s="8" t="b">
        <v>1</v>
      </c>
      <c r="I32" s="8" t="b">
        <v>1</v>
      </c>
      <c r="J32" s="8" t="b">
        <v>1</v>
      </c>
      <c r="K32" s="8" t="b">
        <v>0</v>
      </c>
      <c r="L32" s="8" t="b">
        <v>1</v>
      </c>
      <c r="M32" s="8" t="b">
        <v>1</v>
      </c>
      <c r="N32" s="8" t="b">
        <v>1</v>
      </c>
      <c r="O32" s="8" t="n">
        <v>6</v>
      </c>
      <c r="P32" s="8" t="n">
        <v>6</v>
      </c>
      <c r="Q32" s="8" t="n">
        <v>0</v>
      </c>
      <c r="R32" s="8" t="n"/>
      <c r="S32" s="27" t="n">
        <v>46199</v>
      </c>
      <c r="T32" s="8" t="b">
        <v>1</v>
      </c>
      <c r="U32" s="8" t="b">
        <v>0</v>
      </c>
      <c r="V32" s="8" t="n">
        <v>0</v>
      </c>
      <c r="W32" s="28" t="n">
        <v>0</v>
      </c>
      <c r="X32" s="8" t="inlineStr">
        <is>
          <t>cus_U3eC0paE9t3LVN</t>
        </is>
      </c>
      <c r="Y32" s="28" t="n">
        <v>150</v>
      </c>
      <c r="Z32" s="8" t="inlineStr">
        <is>
          <t>active</t>
        </is>
      </c>
    </row>
    <row r="33">
      <c r="A33" s="12" t="inlineStr">
        <is>
          <t>6d08968b-164f-49ed-8832-0e7590d22863</t>
        </is>
      </c>
      <c r="B33" s="17" t="inlineStr">
        <is>
          <t>(name not on file)</t>
        </is>
      </c>
      <c r="C33" s="29" t="n">
        <v>46084</v>
      </c>
      <c r="D33" s="12" t="inlineStr">
        <is>
          <t>2026-03</t>
        </is>
      </c>
      <c r="E33" s="12" t="b">
        <v>1</v>
      </c>
      <c r="F33" s="12" t="b">
        <v>1</v>
      </c>
      <c r="G33" s="12" t="b">
        <v>1</v>
      </c>
      <c r="H33" s="12" t="b">
        <v>1</v>
      </c>
      <c r="I33" s="12" t="b">
        <v>1</v>
      </c>
      <c r="J33" s="12" t="b">
        <v>0</v>
      </c>
      <c r="K33" s="12" t="b">
        <v>1</v>
      </c>
      <c r="L33" s="12" t="b">
        <v>1</v>
      </c>
      <c r="M33" s="12" t="b">
        <v>1</v>
      </c>
      <c r="N33" s="12" t="b">
        <v>1</v>
      </c>
      <c r="O33" s="12" t="n">
        <v>21</v>
      </c>
      <c r="P33" s="12" t="n">
        <v>21</v>
      </c>
      <c r="Q33" s="12" t="n">
        <v>0</v>
      </c>
      <c r="R33" s="12" t="n"/>
      <c r="S33" s="29" t="n">
        <v>46087</v>
      </c>
      <c r="T33" s="12" t="b">
        <v>1</v>
      </c>
      <c r="U33" s="12" t="b">
        <v>0</v>
      </c>
      <c r="V33" s="12" t="n">
        <v>3</v>
      </c>
      <c r="W33" s="30" t="n">
        <v>285.5</v>
      </c>
      <c r="X33" s="12" t="n"/>
      <c r="Y33" s="30" t="n"/>
      <c r="Z33" s="12" t="n"/>
    </row>
    <row r="34">
      <c r="A34" s="8" t="inlineStr">
        <is>
          <t>ba888c97-7ef0-458b-9509-f43966d256aa</t>
        </is>
      </c>
      <c r="B34" s="8" t="inlineStr">
        <is>
          <t>Kindness Massage</t>
        </is>
      </c>
      <c r="C34" s="27" t="n">
        <v>46086</v>
      </c>
      <c r="D34" s="8" t="inlineStr">
        <is>
          <t>2026-03</t>
        </is>
      </c>
      <c r="E34" s="8" t="b">
        <v>1</v>
      </c>
      <c r="F34" s="8" t="b">
        <v>1</v>
      </c>
      <c r="G34" s="8" t="b">
        <v>1</v>
      </c>
      <c r="H34" s="8" t="b">
        <v>1</v>
      </c>
      <c r="I34" s="8" t="b">
        <v>1</v>
      </c>
      <c r="J34" s="8" t="b">
        <v>1</v>
      </c>
      <c r="K34" s="8" t="b">
        <v>0</v>
      </c>
      <c r="L34" s="8" t="b">
        <v>1</v>
      </c>
      <c r="M34" s="8" t="b">
        <v>1</v>
      </c>
      <c r="N34" s="8" t="b">
        <v>1</v>
      </c>
      <c r="O34" s="8" t="n">
        <v>164</v>
      </c>
      <c r="P34" s="8" t="n">
        <v>103</v>
      </c>
      <c r="Q34" s="8" t="n">
        <v>61</v>
      </c>
      <c r="R34" s="8" t="n"/>
      <c r="S34" s="27" t="n">
        <v>46236</v>
      </c>
      <c r="T34" s="8" t="b">
        <v>1</v>
      </c>
      <c r="U34" s="8" t="b">
        <v>1</v>
      </c>
      <c r="V34" s="8" t="n">
        <v>0</v>
      </c>
      <c r="W34" s="28" t="n">
        <v>0</v>
      </c>
      <c r="X34" s="8" t="inlineStr">
        <is>
          <t>169m4nUy2hjFi1Vuz</t>
        </is>
      </c>
      <c r="Y34" s="28" t="n">
        <v>248</v>
      </c>
      <c r="Z34" s="8" t="inlineStr">
        <is>
          <t>active</t>
        </is>
      </c>
    </row>
    <row r="35">
      <c r="A35" s="12" t="inlineStr">
        <is>
          <t>78303b7a-d9cd-4399-a2a0-7fe3324fc2a7</t>
        </is>
      </c>
      <c r="B35" s="12" t="inlineStr">
        <is>
          <t>Flawless Face &amp; Wax by Felecia</t>
        </is>
      </c>
      <c r="C35" s="29" t="n">
        <v>46086</v>
      </c>
      <c r="D35" s="12" t="inlineStr">
        <is>
          <t>2026-03</t>
        </is>
      </c>
      <c r="E35" s="12" t="b">
        <v>1</v>
      </c>
      <c r="F35" s="12" t="b">
        <v>1</v>
      </c>
      <c r="G35" s="12" t="b">
        <v>1</v>
      </c>
      <c r="H35" s="12" t="b">
        <v>1</v>
      </c>
      <c r="I35" s="12" t="b">
        <v>1</v>
      </c>
      <c r="J35" s="12" t="b">
        <v>0</v>
      </c>
      <c r="K35" s="12" t="b">
        <v>0</v>
      </c>
      <c r="L35" s="12" t="b">
        <v>0</v>
      </c>
      <c r="M35" s="12" t="b">
        <v>0</v>
      </c>
      <c r="N35" s="12" t="b">
        <v>0</v>
      </c>
      <c r="O35" s="12" t="n">
        <v>0</v>
      </c>
      <c r="P35" s="12" t="n">
        <v>0</v>
      </c>
      <c r="Q35" s="12" t="n">
        <v>0</v>
      </c>
      <c r="R35" s="12" t="n"/>
      <c r="S35" s="29" t="n"/>
      <c r="T35" s="12" t="b">
        <v>0</v>
      </c>
      <c r="U35" s="12" t="b">
        <v>0</v>
      </c>
      <c r="V35" s="12" t="n">
        <v>0</v>
      </c>
      <c r="W35" s="30" t="n">
        <v>0</v>
      </c>
      <c r="X35" s="12" t="n"/>
      <c r="Y35" s="30" t="n"/>
      <c r="Z35" s="12" t="n"/>
    </row>
    <row r="36">
      <c r="A36" s="8" t="inlineStr">
        <is>
          <t>b105cf01-8be7-4c7e-a158-c9e4deb10a1d</t>
        </is>
      </c>
      <c r="B36" s="8" t="inlineStr">
        <is>
          <t>Heavenly Touch by Donna</t>
        </is>
      </c>
      <c r="C36" s="27" t="n">
        <v>46086</v>
      </c>
      <c r="D36" s="8" t="inlineStr">
        <is>
          <t>2026-03</t>
        </is>
      </c>
      <c r="E36" s="8" t="b">
        <v>1</v>
      </c>
      <c r="F36" s="8" t="b">
        <v>1</v>
      </c>
      <c r="G36" s="8" t="b">
        <v>1</v>
      </c>
      <c r="H36" s="8" t="b">
        <v>1</v>
      </c>
      <c r="I36" s="8" t="b">
        <v>1</v>
      </c>
      <c r="J36" s="8" t="b">
        <v>1</v>
      </c>
      <c r="K36" s="8" t="b">
        <v>0</v>
      </c>
      <c r="L36" s="8" t="b">
        <v>1</v>
      </c>
      <c r="M36" s="8" t="b">
        <v>1</v>
      </c>
      <c r="N36" s="8" t="b">
        <v>1</v>
      </c>
      <c r="O36" s="8" t="n">
        <v>32</v>
      </c>
      <c r="P36" s="8" t="n">
        <v>8</v>
      </c>
      <c r="Q36" s="8" t="n">
        <v>24</v>
      </c>
      <c r="R36" s="8" t="n"/>
      <c r="S36" s="27" t="n">
        <v>46237</v>
      </c>
      <c r="T36" s="8" t="b">
        <v>1</v>
      </c>
      <c r="U36" s="8" t="b">
        <v>1</v>
      </c>
      <c r="V36" s="8" t="n">
        <v>0</v>
      </c>
      <c r="W36" s="28" t="n">
        <v>0</v>
      </c>
      <c r="X36" s="8" t="inlineStr">
        <is>
          <t>16BcgdV2pu06pjj0</t>
        </is>
      </c>
      <c r="Y36" s="28" t="n">
        <v>199</v>
      </c>
      <c r="Z36" s="8" t="inlineStr">
        <is>
          <t>active</t>
        </is>
      </c>
    </row>
    <row r="37">
      <c r="A37" s="12" t="inlineStr">
        <is>
          <t>c2df4b6a-2c1d-4a33-bc7c-af3af4d1fcce</t>
        </is>
      </c>
      <c r="B37" s="12" t="inlineStr">
        <is>
          <t>Charlotte African hair braiding</t>
        </is>
      </c>
      <c r="C37" s="29" t="n">
        <v>46087</v>
      </c>
      <c r="D37" s="12" t="inlineStr">
        <is>
          <t>2026-03</t>
        </is>
      </c>
      <c r="E37" s="12" t="b">
        <v>1</v>
      </c>
      <c r="F37" s="12" t="b">
        <v>1</v>
      </c>
      <c r="G37" s="12" t="b">
        <v>1</v>
      </c>
      <c r="H37" s="12" t="b">
        <v>1</v>
      </c>
      <c r="I37" s="12" t="b">
        <v>1</v>
      </c>
      <c r="J37" s="12" t="b">
        <v>0</v>
      </c>
      <c r="K37" s="12" t="b">
        <v>0</v>
      </c>
      <c r="L37" s="12" t="b">
        <v>0</v>
      </c>
      <c r="M37" s="12" t="b">
        <v>0</v>
      </c>
      <c r="N37" s="12" t="b">
        <v>0</v>
      </c>
      <c r="O37" s="12" t="n">
        <v>0</v>
      </c>
      <c r="P37" s="12" t="n">
        <v>0</v>
      </c>
      <c r="Q37" s="12" t="n">
        <v>0</v>
      </c>
      <c r="R37" s="12" t="n"/>
      <c r="S37" s="29" t="n"/>
      <c r="T37" s="12" t="b">
        <v>0</v>
      </c>
      <c r="U37" s="12" t="b">
        <v>0</v>
      </c>
      <c r="V37" s="12" t="n">
        <v>0</v>
      </c>
      <c r="W37" s="30" t="n">
        <v>0</v>
      </c>
      <c r="X37" s="12" t="inlineStr">
        <is>
          <t>cus_P9D8q6qIZmvzmr</t>
        </is>
      </c>
      <c r="Y37" s="30" t="n">
        <v>90</v>
      </c>
      <c r="Z37" s="12" t="inlineStr">
        <is>
          <t>active</t>
        </is>
      </c>
    </row>
    <row r="38">
      <c r="A38" s="8" t="inlineStr">
        <is>
          <t>1a594d9e-0d13-4235-9ff7-69e8a4ac1a5b</t>
        </is>
      </c>
      <c r="B38" s="18" t="inlineStr">
        <is>
          <t>(name not on file)</t>
        </is>
      </c>
      <c r="C38" s="27" t="n">
        <v>46092</v>
      </c>
      <c r="D38" s="8" t="inlineStr">
        <is>
          <t>2026-03</t>
        </is>
      </c>
      <c r="E38" s="8" t="b">
        <v>1</v>
      </c>
      <c r="F38" s="8" t="b">
        <v>1</v>
      </c>
      <c r="G38" s="8" t="b">
        <v>1</v>
      </c>
      <c r="H38" s="8" t="b">
        <v>1</v>
      </c>
      <c r="I38" s="8" t="b">
        <v>1</v>
      </c>
      <c r="J38" s="8" t="b">
        <v>0</v>
      </c>
      <c r="K38" s="8" t="b">
        <v>1</v>
      </c>
      <c r="L38" s="8" t="b">
        <v>1</v>
      </c>
      <c r="M38" s="8" t="b">
        <v>1</v>
      </c>
      <c r="N38" s="8" t="b">
        <v>1</v>
      </c>
      <c r="O38" s="8" t="n">
        <v>0</v>
      </c>
      <c r="P38" s="8" t="n">
        <v>0</v>
      </c>
      <c r="Q38" s="8" t="n">
        <v>0</v>
      </c>
      <c r="R38" s="8" t="n"/>
      <c r="S38" s="27" t="n"/>
      <c r="T38" s="8" t="b">
        <v>0</v>
      </c>
      <c r="U38" s="8" t="b">
        <v>0</v>
      </c>
      <c r="V38" s="8" t="n">
        <v>0</v>
      </c>
      <c r="W38" s="28" t="n">
        <v>0</v>
      </c>
      <c r="X38" s="8" t="n"/>
      <c r="Y38" s="28" t="n"/>
      <c r="Z38" s="8" t="n"/>
    </row>
    <row r="39">
      <c r="A39" s="12" t="inlineStr">
        <is>
          <t>e3dc5b9f-56fa-4ee4-a974-84f4dfabed48</t>
        </is>
      </c>
      <c r="B39" s="12" t="inlineStr">
        <is>
          <t>African Hair Braiding by Hawa</t>
        </is>
      </c>
      <c r="C39" s="29" t="n">
        <v>46092</v>
      </c>
      <c r="D39" s="12" t="inlineStr">
        <is>
          <t>2026-03</t>
        </is>
      </c>
      <c r="E39" s="12" t="b">
        <v>1</v>
      </c>
      <c r="F39" s="12" t="b">
        <v>1</v>
      </c>
      <c r="G39" s="12" t="b">
        <v>1</v>
      </c>
      <c r="H39" s="12" t="b">
        <v>1</v>
      </c>
      <c r="I39" s="12" t="b">
        <v>1</v>
      </c>
      <c r="J39" s="12" t="b">
        <v>1</v>
      </c>
      <c r="K39" s="12" t="b">
        <v>0</v>
      </c>
      <c r="L39" s="12" t="b">
        <v>1</v>
      </c>
      <c r="M39" s="12" t="b">
        <v>1</v>
      </c>
      <c r="N39" s="12" t="b">
        <v>1</v>
      </c>
      <c r="O39" s="12" t="n">
        <v>17</v>
      </c>
      <c r="P39" s="12" t="n">
        <v>17</v>
      </c>
      <c r="Q39" s="12" t="n">
        <v>0</v>
      </c>
      <c r="R39" s="12" t="n"/>
      <c r="S39" s="29" t="n">
        <v>46230</v>
      </c>
      <c r="T39" s="12" t="b">
        <v>1</v>
      </c>
      <c r="U39" s="12" t="b">
        <v>1</v>
      </c>
      <c r="V39" s="12" t="n">
        <v>17</v>
      </c>
      <c r="W39" s="30" t="n">
        <v>540</v>
      </c>
      <c r="X39" s="12" t="inlineStr">
        <is>
          <t>16CKWJUpdCJRi1kZB</t>
        </is>
      </c>
      <c r="Y39" s="30" t="n">
        <v>100</v>
      </c>
      <c r="Z39" s="12" t="inlineStr">
        <is>
          <t>active</t>
        </is>
      </c>
    </row>
    <row r="40">
      <c r="A40" s="8" t="inlineStr">
        <is>
          <t>12d1230a-7f02-467f-b32c-ccefbe2d268a</t>
        </is>
      </c>
      <c r="B40" s="8" t="inlineStr">
        <is>
          <t>ChinnysFlair</t>
        </is>
      </c>
      <c r="C40" s="27" t="n">
        <v>46092</v>
      </c>
      <c r="D40" s="8" t="inlineStr">
        <is>
          <t>2026-03</t>
        </is>
      </c>
      <c r="E40" s="8" t="b">
        <v>1</v>
      </c>
      <c r="F40" s="8" t="b">
        <v>1</v>
      </c>
      <c r="G40" s="8" t="b">
        <v>1</v>
      </c>
      <c r="H40" s="8" t="b">
        <v>1</v>
      </c>
      <c r="I40" s="8" t="b">
        <v>1</v>
      </c>
      <c r="J40" s="8" t="b">
        <v>0</v>
      </c>
      <c r="K40" s="8" t="b">
        <v>1</v>
      </c>
      <c r="L40" s="8" t="b">
        <v>1</v>
      </c>
      <c r="M40" s="8" t="b">
        <v>1</v>
      </c>
      <c r="N40" s="8" t="b">
        <v>1</v>
      </c>
      <c r="O40" s="8" t="n">
        <v>33</v>
      </c>
      <c r="P40" s="8" t="n">
        <v>25</v>
      </c>
      <c r="Q40" s="8" t="n">
        <v>8</v>
      </c>
      <c r="R40" s="8" t="n"/>
      <c r="S40" s="27" t="n">
        <v>46233</v>
      </c>
      <c r="T40" s="8" t="b">
        <v>1</v>
      </c>
      <c r="U40" s="8" t="b">
        <v>1</v>
      </c>
      <c r="V40" s="8" t="n">
        <v>4</v>
      </c>
      <c r="W40" s="28" t="n">
        <v>687.5</v>
      </c>
      <c r="X40" s="8" t="inlineStr">
        <is>
          <t>169z91UzihO0y1liT</t>
        </is>
      </c>
      <c r="Y40" s="28" t="n">
        <v>199</v>
      </c>
      <c r="Z40" s="8" t="inlineStr">
        <is>
          <t>active</t>
        </is>
      </c>
    </row>
    <row r="41">
      <c r="A41" s="12" t="inlineStr">
        <is>
          <t>52e57b9c-3fbc-477c-a213-72507c3e9ff4</t>
        </is>
      </c>
      <c r="B41" s="12" t="inlineStr">
        <is>
          <t>JOSIE HAIR BRAIDING</t>
        </is>
      </c>
      <c r="C41" s="29" t="n">
        <v>46097</v>
      </c>
      <c r="D41" s="12" t="inlineStr">
        <is>
          <t>2026-03</t>
        </is>
      </c>
      <c r="E41" s="12" t="b">
        <v>1</v>
      </c>
      <c r="F41" s="12" t="b">
        <v>1</v>
      </c>
      <c r="G41" s="12" t="b">
        <v>1</v>
      </c>
      <c r="H41" s="12" t="b">
        <v>1</v>
      </c>
      <c r="I41" s="12" t="b">
        <v>1</v>
      </c>
      <c r="J41" s="12" t="b">
        <v>1</v>
      </c>
      <c r="K41" s="12" t="b">
        <v>1</v>
      </c>
      <c r="L41" s="12" t="b">
        <v>1</v>
      </c>
      <c r="M41" s="12" t="b">
        <v>1</v>
      </c>
      <c r="N41" s="12" t="b">
        <v>1</v>
      </c>
      <c r="O41" s="12" t="n">
        <v>147</v>
      </c>
      <c r="P41" s="12" t="n">
        <v>109</v>
      </c>
      <c r="Q41" s="12" t="n">
        <v>38</v>
      </c>
      <c r="R41" s="12" t="n"/>
      <c r="S41" s="29" t="n">
        <v>46237</v>
      </c>
      <c r="T41" s="12" t="b">
        <v>1</v>
      </c>
      <c r="U41" s="12" t="b">
        <v>1</v>
      </c>
      <c r="V41" s="12" t="n">
        <v>0</v>
      </c>
      <c r="W41" s="30" t="n">
        <v>0</v>
      </c>
      <c r="X41" s="12" t="inlineStr">
        <is>
          <t>AziGWlVCYg58OJKQ</t>
        </is>
      </c>
      <c r="Y41" s="30" t="n">
        <v>150</v>
      </c>
      <c r="Z41" s="12" t="inlineStr">
        <is>
          <t>active</t>
        </is>
      </c>
    </row>
    <row r="42">
      <c r="A42" s="8" t="inlineStr">
        <is>
          <t>9111fc32-8e88-43e8-aadd-ab758a436542</t>
        </is>
      </c>
      <c r="B42" s="8" t="inlineStr">
        <is>
          <t>Pams Hair Designs, LLC | Extensions, Weaves</t>
        </is>
      </c>
      <c r="C42" s="27" t="n">
        <v>46097</v>
      </c>
      <c r="D42" s="8" t="inlineStr">
        <is>
          <t>2026-03</t>
        </is>
      </c>
      <c r="E42" s="8" t="b">
        <v>1</v>
      </c>
      <c r="F42" s="8" t="b">
        <v>1</v>
      </c>
      <c r="G42" s="8" t="b">
        <v>1</v>
      </c>
      <c r="H42" s="8" t="b">
        <v>1</v>
      </c>
      <c r="I42" s="8" t="b">
        <v>1</v>
      </c>
      <c r="J42" s="8" t="b">
        <v>1</v>
      </c>
      <c r="K42" s="8" t="b">
        <v>0</v>
      </c>
      <c r="L42" s="8" t="b">
        <v>1</v>
      </c>
      <c r="M42" s="8" t="b">
        <v>1</v>
      </c>
      <c r="N42" s="8" t="b">
        <v>1</v>
      </c>
      <c r="O42" s="8" t="n">
        <v>31</v>
      </c>
      <c r="P42" s="8" t="n">
        <v>15</v>
      </c>
      <c r="Q42" s="8" t="n">
        <v>16</v>
      </c>
      <c r="R42" s="8" t="n"/>
      <c r="S42" s="27" t="n">
        <v>46216</v>
      </c>
      <c r="T42" s="8" t="b">
        <v>1</v>
      </c>
      <c r="U42" s="8" t="b">
        <v>1</v>
      </c>
      <c r="V42" s="8" t="n">
        <v>9</v>
      </c>
      <c r="W42" s="28" t="n">
        <v>1850</v>
      </c>
      <c r="X42" s="8" t="inlineStr">
        <is>
          <t>cus_RXm6Cc6VEwACRn</t>
        </is>
      </c>
      <c r="Y42" s="28" t="n">
        <v>100</v>
      </c>
      <c r="Z42" s="8" t="inlineStr">
        <is>
          <t>active</t>
        </is>
      </c>
    </row>
    <row r="43">
      <c r="A43" s="12" t="inlineStr">
        <is>
          <t>caa597b2-84b3-4cae-b33b-bcadd9f03a16</t>
        </is>
      </c>
      <c r="B43" s="12" t="inlineStr">
        <is>
          <t>African hair braiding by beju</t>
        </is>
      </c>
      <c r="C43" s="29" t="n">
        <v>46097</v>
      </c>
      <c r="D43" s="12" t="inlineStr">
        <is>
          <t>2026-03</t>
        </is>
      </c>
      <c r="E43" s="12" t="b">
        <v>1</v>
      </c>
      <c r="F43" s="12" t="b">
        <v>1</v>
      </c>
      <c r="G43" s="12" t="b">
        <v>1</v>
      </c>
      <c r="H43" s="12" t="b">
        <v>1</v>
      </c>
      <c r="I43" s="12" t="b">
        <v>1</v>
      </c>
      <c r="J43" s="12" t="b">
        <v>0</v>
      </c>
      <c r="K43" s="12" t="b">
        <v>1</v>
      </c>
      <c r="L43" s="12" t="b">
        <v>1</v>
      </c>
      <c r="M43" s="12" t="b">
        <v>1</v>
      </c>
      <c r="N43" s="12" t="b">
        <v>1</v>
      </c>
      <c r="O43" s="12" t="n">
        <v>104</v>
      </c>
      <c r="P43" s="12" t="n">
        <v>103</v>
      </c>
      <c r="Q43" s="12" t="n">
        <v>1</v>
      </c>
      <c r="R43" s="12" t="n"/>
      <c r="S43" s="29" t="n">
        <v>46235</v>
      </c>
      <c r="T43" s="12" t="b">
        <v>1</v>
      </c>
      <c r="U43" s="12" t="b">
        <v>1</v>
      </c>
      <c r="V43" s="12" t="n">
        <v>0</v>
      </c>
      <c r="W43" s="30" t="n">
        <v>0</v>
      </c>
      <c r="X43" s="12" t="inlineStr">
        <is>
          <t>169kD2VDrQFRLKPr</t>
        </is>
      </c>
      <c r="Y43" s="30" t="n">
        <v>250</v>
      </c>
      <c r="Z43" s="12" t="inlineStr">
        <is>
          <t>active</t>
        </is>
      </c>
    </row>
    <row r="44">
      <c r="A44" s="8" t="inlineStr">
        <is>
          <t>007fc36c-ee3c-423a-92d0-7d98a198a3fb</t>
        </is>
      </c>
      <c r="B44" s="8" t="inlineStr">
        <is>
          <t>Efflorescence Aesthetic and Cellulite Reduction Spa</t>
        </is>
      </c>
      <c r="C44" s="27" t="n">
        <v>46097</v>
      </c>
      <c r="D44" s="8" t="inlineStr">
        <is>
          <t>2026-03</t>
        </is>
      </c>
      <c r="E44" s="8" t="b">
        <v>1</v>
      </c>
      <c r="F44" s="8" t="b">
        <v>1</v>
      </c>
      <c r="G44" s="8" t="b">
        <v>1</v>
      </c>
      <c r="H44" s="8" t="b">
        <v>1</v>
      </c>
      <c r="I44" s="8" t="b">
        <v>1</v>
      </c>
      <c r="J44" s="8" t="b">
        <v>0</v>
      </c>
      <c r="K44" s="8" t="b">
        <v>1</v>
      </c>
      <c r="L44" s="8" t="b">
        <v>1</v>
      </c>
      <c r="M44" s="8" t="b">
        <v>0</v>
      </c>
      <c r="N44" s="8" t="b">
        <v>0</v>
      </c>
      <c r="O44" s="8" t="n">
        <v>0</v>
      </c>
      <c r="P44" s="8" t="n">
        <v>0</v>
      </c>
      <c r="Q44" s="8" t="n">
        <v>0</v>
      </c>
      <c r="R44" s="8" t="n"/>
      <c r="S44" s="27" t="n"/>
      <c r="T44" s="8" t="b">
        <v>0</v>
      </c>
      <c r="U44" s="8" t="b">
        <v>0</v>
      </c>
      <c r="V44" s="8" t="n">
        <v>0</v>
      </c>
      <c r="W44" s="28" t="n">
        <v>0</v>
      </c>
      <c r="X44" s="8" t="inlineStr">
        <is>
          <t>AzqR82UzF6jBKHvg</t>
        </is>
      </c>
      <c r="Y44" s="28" t="n">
        <v>150</v>
      </c>
      <c r="Z44" s="8" t="inlineStr">
        <is>
          <t>active</t>
        </is>
      </c>
    </row>
    <row r="45">
      <c r="A45" s="12" t="inlineStr">
        <is>
          <t>251ff639-6c23-4a42-913e-e8e007b20e36</t>
        </is>
      </c>
      <c r="B45" s="12" t="inlineStr">
        <is>
          <t>Milona Hair Braiding &amp; Weaving</t>
        </is>
      </c>
      <c r="C45" s="29" t="n">
        <v>46097</v>
      </c>
      <c r="D45" s="12" t="inlineStr">
        <is>
          <t>2026-03</t>
        </is>
      </c>
      <c r="E45" s="12" t="b">
        <v>1</v>
      </c>
      <c r="F45" s="12" t="b">
        <v>1</v>
      </c>
      <c r="G45" s="12" t="b">
        <v>1</v>
      </c>
      <c r="H45" s="12" t="b">
        <v>1</v>
      </c>
      <c r="I45" s="12" t="b">
        <v>1</v>
      </c>
      <c r="J45" s="12" t="b">
        <v>0</v>
      </c>
      <c r="K45" s="12" t="b">
        <v>1</v>
      </c>
      <c r="L45" s="12" t="b">
        <v>1</v>
      </c>
      <c r="M45" s="12" t="b">
        <v>1</v>
      </c>
      <c r="N45" s="12" t="b">
        <v>1</v>
      </c>
      <c r="O45" s="12" t="n">
        <v>198</v>
      </c>
      <c r="P45" s="12" t="n">
        <v>133</v>
      </c>
      <c r="Q45" s="12" t="n">
        <v>65</v>
      </c>
      <c r="R45" s="12" t="n"/>
      <c r="S45" s="29" t="n">
        <v>46237</v>
      </c>
      <c r="T45" s="12" t="b">
        <v>1</v>
      </c>
      <c r="U45" s="12" t="b">
        <v>1</v>
      </c>
      <c r="V45" s="12" t="n">
        <v>69</v>
      </c>
      <c r="W45" s="30" t="n">
        <v>2752.5</v>
      </c>
      <c r="X45" s="12" t="inlineStr">
        <is>
          <t>cus_RUjxoTAwPCZo11</t>
        </is>
      </c>
      <c r="Y45" s="30" t="n">
        <v>162.94</v>
      </c>
      <c r="Z45" s="12" t="inlineStr">
        <is>
          <t>active</t>
        </is>
      </c>
    </row>
    <row r="46">
      <c r="A46" s="8" t="inlineStr">
        <is>
          <t>16ce9985-3536-4a72-bedb-dfacb2f6c80d</t>
        </is>
      </c>
      <c r="B46" s="8" t="inlineStr">
        <is>
          <t>Michele Did My Hair LLC</t>
        </is>
      </c>
      <c r="C46" s="27" t="n">
        <v>46101</v>
      </c>
      <c r="D46" s="8" t="inlineStr">
        <is>
          <t>2026-03</t>
        </is>
      </c>
      <c r="E46" s="8" t="b">
        <v>1</v>
      </c>
      <c r="F46" s="8" t="b">
        <v>1</v>
      </c>
      <c r="G46" s="8" t="b">
        <v>0</v>
      </c>
      <c r="H46" s="8" t="b">
        <v>0</v>
      </c>
      <c r="I46" s="8" t="b">
        <v>0</v>
      </c>
      <c r="J46" s="8" t="b">
        <v>0</v>
      </c>
      <c r="K46" s="8" t="b">
        <v>0</v>
      </c>
      <c r="L46" s="8" t="b">
        <v>0</v>
      </c>
      <c r="M46" s="8" t="b">
        <v>0</v>
      </c>
      <c r="N46" s="8" t="b">
        <v>0</v>
      </c>
      <c r="O46" s="8" t="n">
        <v>0</v>
      </c>
      <c r="P46" s="8" t="n">
        <v>0</v>
      </c>
      <c r="Q46" s="8" t="n">
        <v>0</v>
      </c>
      <c r="R46" s="8" t="n"/>
      <c r="S46" s="27" t="n"/>
      <c r="T46" s="8" t="b">
        <v>0</v>
      </c>
      <c r="U46" s="8" t="b">
        <v>0</v>
      </c>
      <c r="V46" s="8" t="n">
        <v>0</v>
      </c>
      <c r="W46" s="28" t="n">
        <v>0</v>
      </c>
      <c r="X46" s="8" t="inlineStr">
        <is>
          <t>AzZf8YUwDmiGVhnx</t>
        </is>
      </c>
      <c r="Y46" s="28" t="n">
        <v>150</v>
      </c>
      <c r="Z46" s="8" t="inlineStr">
        <is>
          <t>active</t>
        </is>
      </c>
    </row>
    <row r="47">
      <c r="A47" s="12" t="inlineStr">
        <is>
          <t>72cb8150-fedc-4e26-951d-55ae903fca69</t>
        </is>
      </c>
      <c r="B47" s="12" t="inlineStr">
        <is>
          <t>Simply Facials | Thousand Oaks Esthetician</t>
        </is>
      </c>
      <c r="C47" s="29" t="n">
        <v>46104</v>
      </c>
      <c r="D47" s="12" t="inlineStr">
        <is>
          <t>2026-03</t>
        </is>
      </c>
      <c r="E47" s="12" t="b">
        <v>1</v>
      </c>
      <c r="F47" s="12" t="b">
        <v>1</v>
      </c>
      <c r="G47" s="12" t="b">
        <v>1</v>
      </c>
      <c r="H47" s="12" t="b">
        <v>1</v>
      </c>
      <c r="I47" s="12" t="b">
        <v>1</v>
      </c>
      <c r="J47" s="12" t="b">
        <v>1</v>
      </c>
      <c r="K47" s="12" t="b">
        <v>0</v>
      </c>
      <c r="L47" s="12" t="b">
        <v>1</v>
      </c>
      <c r="M47" s="12" t="b">
        <v>1</v>
      </c>
      <c r="N47" s="12" t="b">
        <v>1</v>
      </c>
      <c r="O47" s="12" t="n">
        <v>130</v>
      </c>
      <c r="P47" s="12" t="n">
        <v>3</v>
      </c>
      <c r="Q47" s="12" t="n">
        <v>9</v>
      </c>
      <c r="R47" s="12" t="n"/>
      <c r="S47" s="29" t="n">
        <v>46140</v>
      </c>
      <c r="T47" s="12" t="b">
        <v>1</v>
      </c>
      <c r="U47" s="12" t="b">
        <v>0</v>
      </c>
      <c r="V47" s="12" t="n">
        <v>6</v>
      </c>
      <c r="W47" s="30" t="n">
        <v>187</v>
      </c>
      <c r="X47" s="12" t="inlineStr">
        <is>
          <t>16BRpkUehYZau6veC</t>
        </is>
      </c>
      <c r="Y47" s="30" t="n">
        <v>199</v>
      </c>
      <c r="Z47" s="12" t="inlineStr">
        <is>
          <t>active</t>
        </is>
      </c>
    </row>
    <row r="48">
      <c r="A48" s="8" t="inlineStr">
        <is>
          <t>19e48d70-804e-4736-a855-0d998216db92</t>
        </is>
      </c>
      <c r="B48" s="8" t="inlineStr">
        <is>
          <t>Alice African Braids and Locs</t>
        </is>
      </c>
      <c r="C48" s="27" t="n">
        <v>46105</v>
      </c>
      <c r="D48" s="8" t="inlineStr">
        <is>
          <t>2026-03</t>
        </is>
      </c>
      <c r="E48" s="8" t="b">
        <v>1</v>
      </c>
      <c r="F48" s="8" t="b">
        <v>1</v>
      </c>
      <c r="G48" s="8" t="b">
        <v>1</v>
      </c>
      <c r="H48" s="8" t="b">
        <v>1</v>
      </c>
      <c r="I48" s="8" t="b">
        <v>1</v>
      </c>
      <c r="J48" s="8" t="b">
        <v>0</v>
      </c>
      <c r="K48" s="8" t="b">
        <v>1</v>
      </c>
      <c r="L48" s="8" t="b">
        <v>1</v>
      </c>
      <c r="M48" s="8" t="b">
        <v>1</v>
      </c>
      <c r="N48" s="8" t="b">
        <v>1</v>
      </c>
      <c r="O48" s="8" t="n">
        <v>117</v>
      </c>
      <c r="P48" s="8" t="n">
        <v>115</v>
      </c>
      <c r="Q48" s="8" t="n">
        <v>2</v>
      </c>
      <c r="R48" s="8" t="n"/>
      <c r="S48" s="27" t="n">
        <v>46236</v>
      </c>
      <c r="T48" s="8" t="b">
        <v>1</v>
      </c>
      <c r="U48" s="8" t="b">
        <v>1</v>
      </c>
      <c r="V48" s="8" t="n">
        <v>2</v>
      </c>
      <c r="W48" s="28" t="n">
        <v>117.5</v>
      </c>
      <c r="X48" s="8" t="inlineStr">
        <is>
          <t>cus_UB42IaUsjzv9OA</t>
        </is>
      </c>
      <c r="Y48" s="28" t="n">
        <v>150</v>
      </c>
      <c r="Z48" s="8" t="inlineStr">
        <is>
          <t>active</t>
        </is>
      </c>
    </row>
    <row r="49">
      <c r="A49" s="12" t="inlineStr">
        <is>
          <t>49d7400a-b815-425d-bf46-f90b57067ba2</t>
        </is>
      </c>
      <c r="B49" s="12" t="inlineStr">
        <is>
          <t>Giorgio Hair Salon LLC</t>
        </is>
      </c>
      <c r="C49" s="29" t="n">
        <v>46105</v>
      </c>
      <c r="D49" s="12" t="inlineStr">
        <is>
          <t>2026-03</t>
        </is>
      </c>
      <c r="E49" s="12" t="b">
        <v>1</v>
      </c>
      <c r="F49" s="12" t="b">
        <v>1</v>
      </c>
      <c r="G49" s="12" t="b">
        <v>1</v>
      </c>
      <c r="H49" s="12" t="b">
        <v>1</v>
      </c>
      <c r="I49" s="12" t="b">
        <v>1</v>
      </c>
      <c r="J49" s="12" t="b">
        <v>0</v>
      </c>
      <c r="K49" s="12" t="b">
        <v>1</v>
      </c>
      <c r="L49" s="12" t="b">
        <v>1</v>
      </c>
      <c r="M49" s="12" t="b">
        <v>1</v>
      </c>
      <c r="N49" s="12" t="b">
        <v>1</v>
      </c>
      <c r="O49" s="12" t="n">
        <v>12</v>
      </c>
      <c r="P49" s="12" t="n">
        <v>6</v>
      </c>
      <c r="Q49" s="12" t="n">
        <v>6</v>
      </c>
      <c r="R49" s="12" t="n"/>
      <c r="S49" s="29" t="n">
        <v>46210</v>
      </c>
      <c r="T49" s="12" t="b">
        <v>1</v>
      </c>
      <c r="U49" s="12" t="b">
        <v>1</v>
      </c>
      <c r="V49" s="12" t="n">
        <v>0</v>
      </c>
      <c r="W49" s="30" t="n">
        <v>0</v>
      </c>
      <c r="X49" s="12" t="inlineStr">
        <is>
          <t>cus_PdqKmBxkmOKSUQ</t>
        </is>
      </c>
      <c r="Y49" s="30" t="n">
        <v>100</v>
      </c>
      <c r="Z49" s="12" t="inlineStr">
        <is>
          <t>active</t>
        </is>
      </c>
    </row>
    <row r="50">
      <c r="A50" s="8" t="inlineStr">
        <is>
          <t>5cbc3251-3e52-43cf-998c-1477406b47d9</t>
        </is>
      </c>
      <c r="B50" s="8" t="inlineStr">
        <is>
          <t>All About-Extensions&amp;LocsLLC</t>
        </is>
      </c>
      <c r="C50" s="27" t="n">
        <v>46112</v>
      </c>
      <c r="D50" s="8" t="inlineStr">
        <is>
          <t>2026-03</t>
        </is>
      </c>
      <c r="E50" s="8" t="b">
        <v>1</v>
      </c>
      <c r="F50" s="8" t="b">
        <v>1</v>
      </c>
      <c r="G50" s="8" t="b">
        <v>1</v>
      </c>
      <c r="H50" s="8" t="b">
        <v>1</v>
      </c>
      <c r="I50" s="8" t="b">
        <v>1</v>
      </c>
      <c r="J50" s="8" t="b">
        <v>1</v>
      </c>
      <c r="K50" s="8" t="b">
        <v>0</v>
      </c>
      <c r="L50" s="8" t="b">
        <v>1</v>
      </c>
      <c r="M50" s="8" t="b">
        <v>1</v>
      </c>
      <c r="N50" s="8" t="b">
        <v>1</v>
      </c>
      <c r="O50" s="8" t="n">
        <v>2</v>
      </c>
      <c r="P50" s="8" t="n">
        <v>2</v>
      </c>
      <c r="Q50" s="8" t="n">
        <v>0</v>
      </c>
      <c r="R50" s="8" t="n"/>
      <c r="S50" s="27" t="n">
        <v>46184</v>
      </c>
      <c r="T50" s="8" t="b">
        <v>1</v>
      </c>
      <c r="U50" s="8" t="b">
        <v>0</v>
      </c>
      <c r="V50" s="8" t="n">
        <v>1</v>
      </c>
      <c r="W50" s="28" t="n">
        <v>60</v>
      </c>
      <c r="X50" s="8" t="inlineStr">
        <is>
          <t>AzhqEzV0YiTbpBg5</t>
        </is>
      </c>
      <c r="Y50" s="28" t="n">
        <v>150</v>
      </c>
      <c r="Z50" s="8" t="inlineStr">
        <is>
          <t>active</t>
        </is>
      </c>
    </row>
    <row r="51">
      <c r="A51" s="12" t="inlineStr">
        <is>
          <t>c731a2f0-8992-4015-ae9e-73a6598b3703</t>
        </is>
      </c>
      <c r="B51" s="12" t="inlineStr">
        <is>
          <t>Envious Appeal LLC</t>
        </is>
      </c>
      <c r="C51" s="29" t="n">
        <v>46112</v>
      </c>
      <c r="D51" s="12" t="inlineStr">
        <is>
          <t>2026-03</t>
        </is>
      </c>
      <c r="E51" s="12" t="b">
        <v>1</v>
      </c>
      <c r="F51" s="12" t="b">
        <v>1</v>
      </c>
      <c r="G51" s="12" t="b">
        <v>1</v>
      </c>
      <c r="H51" s="12" t="b">
        <v>1</v>
      </c>
      <c r="I51" s="12" t="b">
        <v>1</v>
      </c>
      <c r="J51" s="12" t="b">
        <v>0</v>
      </c>
      <c r="K51" s="12" t="b">
        <v>1</v>
      </c>
      <c r="L51" s="12" t="b">
        <v>1</v>
      </c>
      <c r="M51" s="12" t="b">
        <v>1</v>
      </c>
      <c r="N51" s="12" t="b">
        <v>1</v>
      </c>
      <c r="O51" s="12" t="n">
        <v>13</v>
      </c>
      <c r="P51" s="12" t="n">
        <v>13</v>
      </c>
      <c r="Q51" s="12" t="n">
        <v>0</v>
      </c>
      <c r="R51" s="12" t="n"/>
      <c r="S51" s="29" t="n">
        <v>46227</v>
      </c>
      <c r="T51" s="12" t="b">
        <v>1</v>
      </c>
      <c r="U51" s="12" t="b">
        <v>1</v>
      </c>
      <c r="V51" s="12" t="n">
        <v>0</v>
      </c>
      <c r="W51" s="30" t="n">
        <v>0</v>
      </c>
      <c r="X51" s="12" t="inlineStr">
        <is>
          <t>169wVhUuWV43u2DRJ</t>
        </is>
      </c>
      <c r="Y51" s="30" t="n">
        <v>199</v>
      </c>
      <c r="Z51" s="12" t="inlineStr">
        <is>
          <t>active</t>
        </is>
      </c>
    </row>
    <row r="52">
      <c r="A52" s="8" t="inlineStr">
        <is>
          <t>48437d71-194e-4c55-b1b7-583302023e62</t>
        </is>
      </c>
      <c r="B52" s="8" t="inlineStr">
        <is>
          <t>Leena's Laser Center</t>
        </is>
      </c>
      <c r="C52" s="27" t="n">
        <v>46113</v>
      </c>
      <c r="D52" s="8" t="inlineStr">
        <is>
          <t>2026-04</t>
        </is>
      </c>
      <c r="E52" s="8" t="b">
        <v>1</v>
      </c>
      <c r="F52" s="8" t="b">
        <v>1</v>
      </c>
      <c r="G52" s="8" t="b">
        <v>1</v>
      </c>
      <c r="H52" s="8" t="b">
        <v>1</v>
      </c>
      <c r="I52" s="8" t="b">
        <v>1</v>
      </c>
      <c r="J52" s="8" t="b">
        <v>0</v>
      </c>
      <c r="K52" s="8" t="b">
        <v>1</v>
      </c>
      <c r="L52" s="8" t="b">
        <v>1</v>
      </c>
      <c r="M52" s="8" t="b">
        <v>1</v>
      </c>
      <c r="N52" s="8" t="b">
        <v>1</v>
      </c>
      <c r="O52" s="8" t="n">
        <v>532</v>
      </c>
      <c r="P52" s="8" t="n">
        <v>80</v>
      </c>
      <c r="Q52" s="8" t="n">
        <v>452</v>
      </c>
      <c r="R52" s="8" t="n"/>
      <c r="S52" s="27" t="n">
        <v>46237</v>
      </c>
      <c r="T52" s="8" t="b">
        <v>1</v>
      </c>
      <c r="U52" s="8" t="b">
        <v>1</v>
      </c>
      <c r="V52" s="8" t="n">
        <v>0</v>
      </c>
      <c r="W52" s="28" t="n">
        <v>0</v>
      </c>
      <c r="X52" s="8" t="inlineStr">
        <is>
          <t>cus_Ty1RXXKr0uLIVE</t>
        </is>
      </c>
      <c r="Y52" s="28" t="n">
        <v>200</v>
      </c>
      <c r="Z52" s="8" t="inlineStr">
        <is>
          <t>active</t>
        </is>
      </c>
    </row>
    <row r="53">
      <c r="A53" s="12" t="inlineStr">
        <is>
          <t>d6a83e99-61d7-4259-abf2-cf9c75aa5dfa</t>
        </is>
      </c>
      <c r="B53" s="12" t="inlineStr">
        <is>
          <t>Derma Aesthetics Spa</t>
        </is>
      </c>
      <c r="C53" s="29" t="n">
        <v>46113</v>
      </c>
      <c r="D53" s="12" t="inlineStr">
        <is>
          <t>2026-04</t>
        </is>
      </c>
      <c r="E53" s="12" t="b">
        <v>1</v>
      </c>
      <c r="F53" s="12" t="b">
        <v>1</v>
      </c>
      <c r="G53" s="12" t="b">
        <v>1</v>
      </c>
      <c r="H53" s="12" t="b">
        <v>1</v>
      </c>
      <c r="I53" s="12" t="b">
        <v>1</v>
      </c>
      <c r="J53" s="12" t="b">
        <v>0</v>
      </c>
      <c r="K53" s="12" t="b">
        <v>1</v>
      </c>
      <c r="L53" s="12" t="b">
        <v>1</v>
      </c>
      <c r="M53" s="12" t="b">
        <v>1</v>
      </c>
      <c r="N53" s="12" t="b">
        <v>1</v>
      </c>
      <c r="O53" s="12" t="n">
        <v>45</v>
      </c>
      <c r="P53" s="12" t="n">
        <v>8</v>
      </c>
      <c r="Q53" s="12" t="n">
        <v>37</v>
      </c>
      <c r="R53" s="12" t="n"/>
      <c r="S53" s="29" t="n">
        <v>46233</v>
      </c>
      <c r="T53" s="12" t="b">
        <v>1</v>
      </c>
      <c r="U53" s="12" t="b">
        <v>1</v>
      </c>
      <c r="V53" s="12" t="n">
        <v>1</v>
      </c>
      <c r="W53" s="30" t="n">
        <v>150</v>
      </c>
      <c r="X53" s="12" t="inlineStr">
        <is>
          <t>16AtpJV0O0YzjFyg</t>
        </is>
      </c>
      <c r="Y53" s="30" t="n">
        <v>199</v>
      </c>
      <c r="Z53" s="12" t="inlineStr">
        <is>
          <t>active</t>
        </is>
      </c>
    </row>
    <row r="54">
      <c r="A54" s="8" t="inlineStr">
        <is>
          <t>12910010-c9c1-41bd-8084-f28fbdde7883</t>
        </is>
      </c>
      <c r="B54" s="8" t="inlineStr">
        <is>
          <t>kosme Nails Studio &amp; Academy</t>
        </is>
      </c>
      <c r="C54" s="27" t="n">
        <v>46116</v>
      </c>
      <c r="D54" s="8" t="inlineStr">
        <is>
          <t>2026-04</t>
        </is>
      </c>
      <c r="E54" s="8" t="b">
        <v>1</v>
      </c>
      <c r="F54" s="8" t="b">
        <v>1</v>
      </c>
      <c r="G54" s="8" t="b">
        <v>0</v>
      </c>
      <c r="H54" s="8" t="b">
        <v>0</v>
      </c>
      <c r="I54" s="8" t="b">
        <v>0</v>
      </c>
      <c r="J54" s="8" t="b">
        <v>0</v>
      </c>
      <c r="K54" s="8" t="b">
        <v>0</v>
      </c>
      <c r="L54" s="8" t="b">
        <v>0</v>
      </c>
      <c r="M54" s="8" t="b">
        <v>0</v>
      </c>
      <c r="N54" s="8" t="b">
        <v>0</v>
      </c>
      <c r="O54" s="8" t="n">
        <v>0</v>
      </c>
      <c r="P54" s="8" t="n">
        <v>0</v>
      </c>
      <c r="Q54" s="8" t="n">
        <v>0</v>
      </c>
      <c r="R54" s="8" t="n"/>
      <c r="S54" s="27" t="n"/>
      <c r="T54" s="8" t="b">
        <v>0</v>
      </c>
      <c r="U54" s="8" t="b">
        <v>0</v>
      </c>
      <c r="V54" s="8" t="n">
        <v>0</v>
      </c>
      <c r="W54" s="28" t="n">
        <v>0</v>
      </c>
      <c r="X54" s="8" t="inlineStr">
        <is>
          <t>AzZh3UVFTNbpy35uA</t>
        </is>
      </c>
      <c r="Y54" s="28" t="n">
        <v>149</v>
      </c>
      <c r="Z54" s="8" t="inlineStr">
        <is>
          <t>active</t>
        </is>
      </c>
    </row>
    <row r="55">
      <c r="A55" s="12" t="inlineStr">
        <is>
          <t>59bf571d-920f-42b3-a50e-ea97b0d9feec</t>
        </is>
      </c>
      <c r="B55" s="12" t="inlineStr">
        <is>
          <t>Braids On Point</t>
        </is>
      </c>
      <c r="C55" s="29" t="n">
        <v>46119</v>
      </c>
      <c r="D55" s="12" t="inlineStr">
        <is>
          <t>2026-04</t>
        </is>
      </c>
      <c r="E55" s="12" t="b">
        <v>1</v>
      </c>
      <c r="F55" s="12" t="b">
        <v>1</v>
      </c>
      <c r="G55" s="12" t="b">
        <v>1</v>
      </c>
      <c r="H55" s="12" t="b">
        <v>1</v>
      </c>
      <c r="I55" s="12" t="b">
        <v>1</v>
      </c>
      <c r="J55" s="12" t="b">
        <v>1</v>
      </c>
      <c r="K55" s="12" t="b">
        <v>0</v>
      </c>
      <c r="L55" s="12" t="b">
        <v>1</v>
      </c>
      <c r="M55" s="12" t="b">
        <v>1</v>
      </c>
      <c r="N55" s="12" t="b">
        <v>1</v>
      </c>
      <c r="O55" s="12" t="n">
        <v>58</v>
      </c>
      <c r="P55" s="12" t="n">
        <v>58</v>
      </c>
      <c r="Q55" s="12" t="n">
        <v>0</v>
      </c>
      <c r="R55" s="12" t="n"/>
      <c r="S55" s="29" t="n">
        <v>46233</v>
      </c>
      <c r="T55" s="12" t="b">
        <v>1</v>
      </c>
      <c r="U55" s="12" t="b">
        <v>1</v>
      </c>
      <c r="V55" s="12" t="n">
        <v>57</v>
      </c>
      <c r="W55" s="30" t="n">
        <v>1728</v>
      </c>
      <c r="X55" s="12" t="inlineStr">
        <is>
          <t>AzqPexVFOlArabcsQ</t>
        </is>
      </c>
      <c r="Y55" s="30" t="n">
        <v>150</v>
      </c>
      <c r="Z55" s="12" t="inlineStr">
        <is>
          <t>active</t>
        </is>
      </c>
    </row>
    <row r="56">
      <c r="A56" s="8" t="inlineStr">
        <is>
          <t>3418fff6-cf58-4e6e-9ba2-d7ebcec6660d</t>
        </is>
      </c>
      <c r="B56" s="8" t="inlineStr">
        <is>
          <t>The Body Lux: Brazilian Lymphatic Drainage &amp; Body Contouring</t>
        </is>
      </c>
      <c r="C56" s="27" t="n">
        <v>46119</v>
      </c>
      <c r="D56" s="8" t="inlineStr">
        <is>
          <t>2026-04</t>
        </is>
      </c>
      <c r="E56" s="8" t="b">
        <v>1</v>
      </c>
      <c r="F56" s="8" t="b">
        <v>1</v>
      </c>
      <c r="G56" s="8" t="b">
        <v>1</v>
      </c>
      <c r="H56" s="8" t="b">
        <v>1</v>
      </c>
      <c r="I56" s="8" t="b">
        <v>1</v>
      </c>
      <c r="J56" s="8" t="b">
        <v>1</v>
      </c>
      <c r="K56" s="8" t="b">
        <v>0</v>
      </c>
      <c r="L56" s="8" t="b">
        <v>1</v>
      </c>
      <c r="M56" s="8" t="b">
        <v>1</v>
      </c>
      <c r="N56" s="8" t="b">
        <v>1</v>
      </c>
      <c r="O56" s="8" t="n">
        <v>350</v>
      </c>
      <c r="P56" s="8" t="n">
        <v>44</v>
      </c>
      <c r="Q56" s="8" t="n">
        <v>306</v>
      </c>
      <c r="R56" s="8" t="n"/>
      <c r="S56" s="27" t="n">
        <v>46237</v>
      </c>
      <c r="T56" s="8" t="b">
        <v>1</v>
      </c>
      <c r="U56" s="8" t="b">
        <v>1</v>
      </c>
      <c r="V56" s="8" t="n">
        <v>97</v>
      </c>
      <c r="W56" s="28" t="n">
        <v>19154.84</v>
      </c>
      <c r="X56" s="8" t="inlineStr">
        <is>
          <t>AzyYF8UxkuGnF4HSg</t>
        </is>
      </c>
      <c r="Y56" s="28" t="n">
        <v>99</v>
      </c>
      <c r="Z56" s="8" t="inlineStr">
        <is>
          <t>active</t>
        </is>
      </c>
    </row>
    <row r="57">
      <c r="A57" s="12" t="inlineStr">
        <is>
          <t>43b477ab-a0ed-4fab-989a-1bfb423958a5</t>
        </is>
      </c>
      <c r="B57" s="12" t="inlineStr">
        <is>
          <t>Robin Brooks Studio Salon</t>
        </is>
      </c>
      <c r="C57" s="29" t="n">
        <v>46120</v>
      </c>
      <c r="D57" s="12" t="inlineStr">
        <is>
          <t>2026-04</t>
        </is>
      </c>
      <c r="E57" s="12" t="b">
        <v>1</v>
      </c>
      <c r="F57" s="12" t="b">
        <v>1</v>
      </c>
      <c r="G57" s="12" t="b">
        <v>0</v>
      </c>
      <c r="H57" s="12" t="b">
        <v>0</v>
      </c>
      <c r="I57" s="12" t="b">
        <v>0</v>
      </c>
      <c r="J57" s="12" t="b">
        <v>0</v>
      </c>
      <c r="K57" s="12" t="b">
        <v>0</v>
      </c>
      <c r="L57" s="12" t="b">
        <v>0</v>
      </c>
      <c r="M57" s="12" t="b">
        <v>0</v>
      </c>
      <c r="N57" s="12" t="b">
        <v>0</v>
      </c>
      <c r="O57" s="12" t="n">
        <v>0</v>
      </c>
      <c r="P57" s="12" t="n">
        <v>0</v>
      </c>
      <c r="Q57" s="12" t="n">
        <v>0</v>
      </c>
      <c r="R57" s="12" t="n"/>
      <c r="S57" s="29" t="n"/>
      <c r="T57" s="12" t="b">
        <v>0</v>
      </c>
      <c r="U57" s="12" t="b">
        <v>0</v>
      </c>
      <c r="V57" s="12" t="n">
        <v>0</v>
      </c>
      <c r="W57" s="30" t="n">
        <v>0</v>
      </c>
      <c r="X57" s="12" t="inlineStr">
        <is>
          <t>169qwZVG3vew95jc</t>
        </is>
      </c>
      <c r="Y57" s="30" t="n"/>
      <c r="Z57" s="12" t="inlineStr">
        <is>
          <t>cancelled</t>
        </is>
      </c>
    </row>
    <row r="58">
      <c r="A58" s="8" t="inlineStr">
        <is>
          <t>c6779212-79b9-4ece-abba-9bffc8ad9da8</t>
        </is>
      </c>
      <c r="B58" s="8" t="inlineStr">
        <is>
          <t>Luna Lucci Hair Salon</t>
        </is>
      </c>
      <c r="C58" s="27" t="n">
        <v>46121</v>
      </c>
      <c r="D58" s="8" t="inlineStr">
        <is>
          <t>2026-04</t>
        </is>
      </c>
      <c r="E58" s="8" t="b">
        <v>1</v>
      </c>
      <c r="F58" s="8" t="b">
        <v>1</v>
      </c>
      <c r="G58" s="8" t="b">
        <v>1</v>
      </c>
      <c r="H58" s="8" t="b">
        <v>1</v>
      </c>
      <c r="I58" s="8" t="b">
        <v>1</v>
      </c>
      <c r="J58" s="8" t="b">
        <v>1</v>
      </c>
      <c r="K58" s="8" t="b">
        <v>0</v>
      </c>
      <c r="L58" s="8" t="b">
        <v>1</v>
      </c>
      <c r="M58" s="8" t="b">
        <v>1</v>
      </c>
      <c r="N58" s="8" t="b">
        <v>1</v>
      </c>
      <c r="O58" s="8" t="n">
        <v>56</v>
      </c>
      <c r="P58" s="8" t="n">
        <v>56</v>
      </c>
      <c r="Q58" s="8" t="n">
        <v>0</v>
      </c>
      <c r="R58" s="8" t="n"/>
      <c r="S58" s="27" t="n">
        <v>46234</v>
      </c>
      <c r="T58" s="8" t="b">
        <v>1</v>
      </c>
      <c r="U58" s="8" t="b">
        <v>1</v>
      </c>
      <c r="V58" s="8" t="n">
        <v>0</v>
      </c>
      <c r="W58" s="28" t="n">
        <v>0</v>
      </c>
      <c r="X58" s="8" t="inlineStr">
        <is>
          <t>AzqLyvV4LMNpW3BH</t>
        </is>
      </c>
      <c r="Y58" s="28" t="n">
        <v>100</v>
      </c>
      <c r="Z58" s="8" t="inlineStr">
        <is>
          <t>active</t>
        </is>
      </c>
    </row>
    <row r="59">
      <c r="A59" s="12" t="inlineStr">
        <is>
          <t>8c0837a5-8fa6-40a0-a408-11660e70c12d</t>
        </is>
      </c>
      <c r="B59" s="12" t="inlineStr">
        <is>
          <t>Abundance Beauty Salon &amp; Lash Studio, Darien IL</t>
        </is>
      </c>
      <c r="C59" s="29" t="n">
        <v>46122</v>
      </c>
      <c r="D59" s="12" t="inlineStr">
        <is>
          <t>2026-04</t>
        </is>
      </c>
      <c r="E59" s="12" t="b">
        <v>1</v>
      </c>
      <c r="F59" s="12" t="b">
        <v>1</v>
      </c>
      <c r="G59" s="12" t="b">
        <v>1</v>
      </c>
      <c r="H59" s="12" t="b">
        <v>0</v>
      </c>
      <c r="I59" s="12" t="b">
        <v>0</v>
      </c>
      <c r="J59" s="12" t="b">
        <v>0</v>
      </c>
      <c r="K59" s="12" t="b">
        <v>0</v>
      </c>
      <c r="L59" s="12" t="b">
        <v>0</v>
      </c>
      <c r="M59" s="12" t="b">
        <v>0</v>
      </c>
      <c r="N59" s="12" t="b">
        <v>0</v>
      </c>
      <c r="O59" s="12" t="n">
        <v>0</v>
      </c>
      <c r="P59" s="12" t="n">
        <v>0</v>
      </c>
      <c r="Q59" s="12" t="n">
        <v>0</v>
      </c>
      <c r="R59" s="12" t="n"/>
      <c r="S59" s="29" t="n"/>
      <c r="T59" s="12" t="b">
        <v>0</v>
      </c>
      <c r="U59" s="12" t="b">
        <v>0</v>
      </c>
      <c r="V59" s="12" t="n">
        <v>0</v>
      </c>
      <c r="W59" s="30" t="n">
        <v>0</v>
      </c>
      <c r="X59" s="12" t="inlineStr">
        <is>
          <t>16A0CZV5J1Am0HHy</t>
        </is>
      </c>
      <c r="Y59" s="30" t="n">
        <v>199</v>
      </c>
      <c r="Z59" s="12" t="inlineStr">
        <is>
          <t>active</t>
        </is>
      </c>
    </row>
    <row r="60">
      <c r="A60" s="8" t="inlineStr">
        <is>
          <t>00a7859a-ccbe-407f-a7a7-a907dfdcaedb</t>
        </is>
      </c>
      <c r="B60" s="8" t="inlineStr">
        <is>
          <t>Zen Hair Studio &amp; Day Spa</t>
        </is>
      </c>
      <c r="C60" s="27" t="n">
        <v>46125</v>
      </c>
      <c r="D60" s="8" t="inlineStr">
        <is>
          <t>2026-04</t>
        </is>
      </c>
      <c r="E60" s="8" t="b">
        <v>1</v>
      </c>
      <c r="F60" s="8" t="b">
        <v>1</v>
      </c>
      <c r="G60" s="8" t="b">
        <v>0</v>
      </c>
      <c r="H60" s="8" t="b">
        <v>0</v>
      </c>
      <c r="I60" s="8" t="b">
        <v>0</v>
      </c>
      <c r="J60" s="8" t="b">
        <v>0</v>
      </c>
      <c r="K60" s="8" t="b">
        <v>0</v>
      </c>
      <c r="L60" s="8" t="b">
        <v>0</v>
      </c>
      <c r="M60" s="8" t="b">
        <v>0</v>
      </c>
      <c r="N60" s="8" t="b">
        <v>0</v>
      </c>
      <c r="O60" s="8" t="n">
        <v>0</v>
      </c>
      <c r="P60" s="8" t="n">
        <v>0</v>
      </c>
      <c r="Q60" s="8" t="n">
        <v>0</v>
      </c>
      <c r="R60" s="8" t="n"/>
      <c r="S60" s="27" t="n"/>
      <c r="T60" s="8" t="b">
        <v>0</v>
      </c>
      <c r="U60" s="8" t="b">
        <v>0</v>
      </c>
      <c r="V60" s="8" t="n">
        <v>0</v>
      </c>
      <c r="W60" s="28" t="n">
        <v>0</v>
      </c>
      <c r="X60" s="8" t="inlineStr">
        <is>
          <t>AzqgWYUxGx0mB1bjj</t>
        </is>
      </c>
      <c r="Y60" s="28" t="n">
        <v>249</v>
      </c>
      <c r="Z60" s="8" t="inlineStr">
        <is>
          <t>active</t>
        </is>
      </c>
    </row>
    <row r="61">
      <c r="A61" s="12" t="inlineStr">
        <is>
          <t>c1a37a77-abf8-4560-b725-1309c7208b04</t>
        </is>
      </c>
      <c r="B61" s="12" t="inlineStr">
        <is>
          <t>Kenny Braids</t>
        </is>
      </c>
      <c r="C61" s="29" t="n">
        <v>46127</v>
      </c>
      <c r="D61" s="12" t="inlineStr">
        <is>
          <t>2026-04</t>
        </is>
      </c>
      <c r="E61" s="12" t="b">
        <v>1</v>
      </c>
      <c r="F61" s="12" t="b">
        <v>1</v>
      </c>
      <c r="G61" s="12" t="b">
        <v>1</v>
      </c>
      <c r="H61" s="12" t="b">
        <v>1</v>
      </c>
      <c r="I61" s="12" t="b">
        <v>1</v>
      </c>
      <c r="J61" s="12" t="b">
        <v>1</v>
      </c>
      <c r="K61" s="12" t="b">
        <v>1</v>
      </c>
      <c r="L61" s="12" t="b">
        <v>1</v>
      </c>
      <c r="M61" s="12" t="b">
        <v>1</v>
      </c>
      <c r="N61" s="12" t="b">
        <v>1</v>
      </c>
      <c r="O61" s="12" t="n">
        <v>24</v>
      </c>
      <c r="P61" s="12" t="n">
        <v>22</v>
      </c>
      <c r="Q61" s="12" t="n">
        <v>2</v>
      </c>
      <c r="R61" s="12" t="n"/>
      <c r="S61" s="29" t="n">
        <v>46237</v>
      </c>
      <c r="T61" s="12" t="b">
        <v>1</v>
      </c>
      <c r="U61" s="12" t="b">
        <v>1</v>
      </c>
      <c r="V61" s="12" t="n">
        <v>19</v>
      </c>
      <c r="W61" s="30" t="n">
        <v>452</v>
      </c>
      <c r="X61" s="12" t="inlineStr">
        <is>
          <t>16BmDFUmp8xMxArlA</t>
        </is>
      </c>
      <c r="Y61" s="30" t="n">
        <v>120</v>
      </c>
      <c r="Z61" s="12" t="inlineStr">
        <is>
          <t>active</t>
        </is>
      </c>
    </row>
    <row r="62">
      <c r="A62" s="8" t="inlineStr">
        <is>
          <t>d6b3c88a-6f69-404b-bee9-4097d7a3a949</t>
        </is>
      </c>
      <c r="B62" s="8" t="inlineStr">
        <is>
          <t>Looks Threading &amp; Hair Salon</t>
        </is>
      </c>
      <c r="C62" s="27" t="n">
        <v>46127</v>
      </c>
      <c r="D62" s="8" t="inlineStr">
        <is>
          <t>2026-04</t>
        </is>
      </c>
      <c r="E62" s="8" t="b">
        <v>1</v>
      </c>
      <c r="F62" s="8" t="b">
        <v>1</v>
      </c>
      <c r="G62" s="8" t="b">
        <v>1</v>
      </c>
      <c r="H62" s="8" t="b">
        <v>1</v>
      </c>
      <c r="I62" s="8" t="b">
        <v>1</v>
      </c>
      <c r="J62" s="8" t="b">
        <v>1</v>
      </c>
      <c r="K62" s="8" t="b">
        <v>0</v>
      </c>
      <c r="L62" s="8" t="b">
        <v>1</v>
      </c>
      <c r="M62" s="8" t="b">
        <v>1</v>
      </c>
      <c r="N62" s="8" t="b">
        <v>1</v>
      </c>
      <c r="O62" s="8" t="n">
        <v>30</v>
      </c>
      <c r="P62" s="8" t="n">
        <v>30</v>
      </c>
      <c r="Q62" s="8" t="n">
        <v>0</v>
      </c>
      <c r="R62" s="8" t="n"/>
      <c r="S62" s="27" t="n">
        <v>46235</v>
      </c>
      <c r="T62" s="8" t="b">
        <v>1</v>
      </c>
      <c r="U62" s="8" t="b">
        <v>1</v>
      </c>
      <c r="V62" s="8" t="n">
        <v>1</v>
      </c>
      <c r="W62" s="28" t="n">
        <v>95</v>
      </c>
      <c r="X62" s="8" t="inlineStr">
        <is>
          <t>Azi8ufV9j8pF94XK</t>
        </is>
      </c>
      <c r="Y62" s="28" t="n">
        <v>200</v>
      </c>
      <c r="Z62" s="8" t="inlineStr">
        <is>
          <t>active</t>
        </is>
      </c>
    </row>
    <row r="63">
      <c r="A63" s="12" t="inlineStr">
        <is>
          <t>c2561bac-445a-499b-94d3-02d7053bba8e</t>
        </is>
      </c>
      <c r="B63" s="12" t="inlineStr">
        <is>
          <t>Colors By Kyla</t>
        </is>
      </c>
      <c r="C63" s="29" t="n">
        <v>46128</v>
      </c>
      <c r="D63" s="12" t="inlineStr">
        <is>
          <t>2026-04</t>
        </is>
      </c>
      <c r="E63" s="12" t="b">
        <v>1</v>
      </c>
      <c r="F63" s="12" t="b">
        <v>1</v>
      </c>
      <c r="G63" s="12" t="b">
        <v>1</v>
      </c>
      <c r="H63" s="12" t="b">
        <v>1</v>
      </c>
      <c r="I63" s="12" t="b">
        <v>1</v>
      </c>
      <c r="J63" s="12" t="b">
        <v>0</v>
      </c>
      <c r="K63" s="12" t="b">
        <v>1</v>
      </c>
      <c r="L63" s="12" t="b">
        <v>1</v>
      </c>
      <c r="M63" s="12" t="b">
        <v>1</v>
      </c>
      <c r="N63" s="12" t="b">
        <v>1</v>
      </c>
      <c r="O63" s="12" t="n">
        <v>83</v>
      </c>
      <c r="P63" s="12" t="n">
        <v>25</v>
      </c>
      <c r="Q63" s="12" t="n">
        <v>58</v>
      </c>
      <c r="R63" s="12" t="n"/>
      <c r="S63" s="29" t="n">
        <v>46232</v>
      </c>
      <c r="T63" s="12" t="b">
        <v>1</v>
      </c>
      <c r="U63" s="12" t="b">
        <v>1</v>
      </c>
      <c r="V63" s="12" t="n">
        <v>0</v>
      </c>
      <c r="W63" s="30" t="n">
        <v>0</v>
      </c>
      <c r="X63" s="12" t="inlineStr">
        <is>
          <t>cus_QOCBjvgZ2GNtel</t>
        </is>
      </c>
      <c r="Y63" s="30" t="n">
        <v>150</v>
      </c>
      <c r="Z63" s="12" t="inlineStr">
        <is>
          <t>active</t>
        </is>
      </c>
    </row>
    <row r="64">
      <c r="A64" s="8" t="inlineStr">
        <is>
          <t>1bc6e30e-65e2-4764-ab83-a91fbafb0ada</t>
        </is>
      </c>
      <c r="B64" s="8" t="inlineStr">
        <is>
          <t>Signature Beauty Clinic</t>
        </is>
      </c>
      <c r="C64" s="27" t="n">
        <v>46128</v>
      </c>
      <c r="D64" s="8" t="inlineStr">
        <is>
          <t>2026-04</t>
        </is>
      </c>
      <c r="E64" s="8" t="b">
        <v>1</v>
      </c>
      <c r="F64" s="8" t="b">
        <v>1</v>
      </c>
      <c r="G64" s="8" t="b">
        <v>1</v>
      </c>
      <c r="H64" s="8" t="b">
        <v>1</v>
      </c>
      <c r="I64" s="8" t="b">
        <v>1</v>
      </c>
      <c r="J64" s="8" t="b">
        <v>1</v>
      </c>
      <c r="K64" s="8" t="b">
        <v>0</v>
      </c>
      <c r="L64" s="8" t="b">
        <v>1</v>
      </c>
      <c r="M64" s="8" t="b">
        <v>1</v>
      </c>
      <c r="N64" s="8" t="b">
        <v>1</v>
      </c>
      <c r="O64" s="8" t="n">
        <v>9</v>
      </c>
      <c r="P64" s="8" t="n">
        <v>7</v>
      </c>
      <c r="Q64" s="8" t="n">
        <v>2</v>
      </c>
      <c r="R64" s="8" t="n"/>
      <c r="S64" s="27" t="n">
        <v>46217</v>
      </c>
      <c r="T64" s="8" t="b">
        <v>1</v>
      </c>
      <c r="U64" s="8" t="b">
        <v>1</v>
      </c>
      <c r="V64" s="8" t="n">
        <v>6</v>
      </c>
      <c r="W64" s="28" t="n">
        <v>187</v>
      </c>
      <c r="X64" s="8" t="n"/>
      <c r="Y64" s="28" t="n"/>
      <c r="Z64" s="8" t="n"/>
    </row>
    <row r="65">
      <c r="A65" s="12" t="inlineStr">
        <is>
          <t>52a35418-3cfa-47ba-a975-75b14e81fe74</t>
        </is>
      </c>
      <c r="B65" s="12" t="inlineStr">
        <is>
          <t>American Braids &amp; Beauty</t>
        </is>
      </c>
      <c r="C65" s="29" t="n">
        <v>46133</v>
      </c>
      <c r="D65" s="12" t="inlineStr">
        <is>
          <t>2026-04</t>
        </is>
      </c>
      <c r="E65" s="12" t="b">
        <v>1</v>
      </c>
      <c r="F65" s="12" t="b">
        <v>1</v>
      </c>
      <c r="G65" s="12" t="b">
        <v>1</v>
      </c>
      <c r="H65" s="12" t="b">
        <v>1</v>
      </c>
      <c r="I65" s="12" t="b">
        <v>1</v>
      </c>
      <c r="J65" s="12" t="b">
        <v>1</v>
      </c>
      <c r="K65" s="12" t="b">
        <v>0</v>
      </c>
      <c r="L65" s="12" t="b">
        <v>1</v>
      </c>
      <c r="M65" s="12" t="b">
        <v>1</v>
      </c>
      <c r="N65" s="12" t="b">
        <v>1</v>
      </c>
      <c r="O65" s="12" t="n">
        <v>42</v>
      </c>
      <c r="P65" s="12" t="n">
        <v>42</v>
      </c>
      <c r="Q65" s="12" t="n">
        <v>0</v>
      </c>
      <c r="R65" s="12" t="n"/>
      <c r="S65" s="29" t="n">
        <v>46237</v>
      </c>
      <c r="T65" s="12" t="b">
        <v>1</v>
      </c>
      <c r="U65" s="12" t="b">
        <v>1</v>
      </c>
      <c r="V65" s="12" t="n">
        <v>45</v>
      </c>
      <c r="W65" s="30" t="n">
        <v>1975</v>
      </c>
      <c r="X65" s="12" t="inlineStr">
        <is>
          <t>AzZq5zV8DDPrQ2335</t>
        </is>
      </c>
      <c r="Y65" s="30" t="n">
        <v>249</v>
      </c>
      <c r="Z65" s="12" t="inlineStr">
        <is>
          <t>active</t>
        </is>
      </c>
    </row>
    <row r="66">
      <c r="A66" s="8" t="inlineStr">
        <is>
          <t>c867f830-c111-49c7-add6-b3bd303897b0</t>
        </is>
      </c>
      <c r="B66" s="8" t="inlineStr">
        <is>
          <t>Inner Bag Nail Spa</t>
        </is>
      </c>
      <c r="C66" s="27" t="n">
        <v>46134</v>
      </c>
      <c r="D66" s="8" t="inlineStr">
        <is>
          <t>2026-04</t>
        </is>
      </c>
      <c r="E66" s="8" t="b">
        <v>1</v>
      </c>
      <c r="F66" s="8" t="b">
        <v>1</v>
      </c>
      <c r="G66" s="8" t="b">
        <v>0</v>
      </c>
      <c r="H66" s="8" t="b">
        <v>0</v>
      </c>
      <c r="I66" s="8" t="b">
        <v>0</v>
      </c>
      <c r="J66" s="8" t="b">
        <v>0</v>
      </c>
      <c r="K66" s="8" t="b">
        <v>0</v>
      </c>
      <c r="L66" s="8" t="b">
        <v>0</v>
      </c>
      <c r="M66" s="8" t="b">
        <v>0</v>
      </c>
      <c r="N66" s="8" t="b">
        <v>0</v>
      </c>
      <c r="O66" s="8" t="n">
        <v>0</v>
      </c>
      <c r="P66" s="8" t="n">
        <v>0</v>
      </c>
      <c r="Q66" s="8" t="n">
        <v>0</v>
      </c>
      <c r="R66" s="8" t="n"/>
      <c r="S66" s="27" t="n"/>
      <c r="T66" s="8" t="b">
        <v>0</v>
      </c>
      <c r="U66" s="8" t="b">
        <v>0</v>
      </c>
      <c r="V66" s="8" t="n">
        <v>0</v>
      </c>
      <c r="W66" s="28" t="n">
        <v>0</v>
      </c>
      <c r="X66" s="8" t="n"/>
      <c r="Y66" s="28" t="n"/>
      <c r="Z66" s="8" t="n"/>
    </row>
    <row r="67">
      <c r="A67" s="12" t="inlineStr">
        <is>
          <t>b72ca03c-b418-4540-930b-f88c26b6ebe4</t>
        </is>
      </c>
      <c r="B67" s="12" t="inlineStr">
        <is>
          <t>Alyssa's Eyelash</t>
        </is>
      </c>
      <c r="C67" s="29" t="n">
        <v>46136</v>
      </c>
      <c r="D67" s="12" t="inlineStr">
        <is>
          <t>2026-04</t>
        </is>
      </c>
      <c r="E67" s="12" t="b">
        <v>1</v>
      </c>
      <c r="F67" s="12" t="b">
        <v>1</v>
      </c>
      <c r="G67" s="12" t="b">
        <v>1</v>
      </c>
      <c r="H67" s="12" t="b">
        <v>1</v>
      </c>
      <c r="I67" s="12" t="b">
        <v>1</v>
      </c>
      <c r="J67" s="12" t="b">
        <v>0</v>
      </c>
      <c r="K67" s="12" t="b">
        <v>1</v>
      </c>
      <c r="L67" s="12" t="b">
        <v>1</v>
      </c>
      <c r="M67" s="12" t="b">
        <v>1</v>
      </c>
      <c r="N67" s="12" t="b">
        <v>1</v>
      </c>
      <c r="O67" s="12" t="n">
        <v>35</v>
      </c>
      <c r="P67" s="12" t="n">
        <v>35</v>
      </c>
      <c r="Q67" s="12" t="n">
        <v>0</v>
      </c>
      <c r="R67" s="12" t="n"/>
      <c r="S67" s="29" t="n">
        <v>46234</v>
      </c>
      <c r="T67" s="12" t="b">
        <v>1</v>
      </c>
      <c r="U67" s="12" t="b">
        <v>1</v>
      </c>
      <c r="V67" s="12" t="n">
        <v>0</v>
      </c>
      <c r="W67" s="30" t="n">
        <v>0</v>
      </c>
      <c r="X67" s="12" t="inlineStr">
        <is>
          <t>169mwoVHYOJhhXJi</t>
        </is>
      </c>
      <c r="Y67" s="30" t="n">
        <v>250</v>
      </c>
      <c r="Z67" s="12" t="inlineStr">
        <is>
          <t>active</t>
        </is>
      </c>
    </row>
    <row r="68">
      <c r="A68" s="8" t="inlineStr">
        <is>
          <t>434295e9-2e31-4490-b218-c6afdb495cd7</t>
        </is>
      </c>
      <c r="B68" s="8" t="inlineStr">
        <is>
          <t>Lineth balza skin care &amp; massage</t>
        </is>
      </c>
      <c r="C68" s="27" t="n">
        <v>46140</v>
      </c>
      <c r="D68" s="8" t="inlineStr">
        <is>
          <t>2026-04</t>
        </is>
      </c>
      <c r="E68" s="8" t="b">
        <v>1</v>
      </c>
      <c r="F68" s="8" t="b">
        <v>1</v>
      </c>
      <c r="G68" s="8" t="b">
        <v>0</v>
      </c>
      <c r="H68" s="8" t="b">
        <v>0</v>
      </c>
      <c r="I68" s="8" t="b">
        <v>0</v>
      </c>
      <c r="J68" s="8" t="b">
        <v>0</v>
      </c>
      <c r="K68" s="8" t="b">
        <v>0</v>
      </c>
      <c r="L68" s="8" t="b">
        <v>0</v>
      </c>
      <c r="M68" s="8" t="b">
        <v>0</v>
      </c>
      <c r="N68" s="8" t="b">
        <v>0</v>
      </c>
      <c r="O68" s="8" t="n">
        <v>0</v>
      </c>
      <c r="P68" s="8" t="n">
        <v>0</v>
      </c>
      <c r="Q68" s="8" t="n">
        <v>0</v>
      </c>
      <c r="R68" s="8" t="n"/>
      <c r="S68" s="27" t="n"/>
      <c r="T68" s="8" t="b">
        <v>0</v>
      </c>
      <c r="U68" s="8" t="b">
        <v>0</v>
      </c>
      <c r="V68" s="8" t="n">
        <v>0</v>
      </c>
      <c r="W68" s="28" t="n">
        <v>0</v>
      </c>
      <c r="X68" s="8" t="n"/>
      <c r="Y68" s="28" t="n"/>
      <c r="Z68" s="8" t="n"/>
    </row>
    <row r="69">
      <c r="A69" s="12" t="inlineStr">
        <is>
          <t>6e29f2a1-f4b4-4502-b166-3be03192fd0e</t>
        </is>
      </c>
      <c r="B69" s="12" t="inlineStr">
        <is>
          <t>Eclipse Body Sculpting Studio</t>
        </is>
      </c>
      <c r="C69" s="29" t="n">
        <v>46146</v>
      </c>
      <c r="D69" s="12" t="inlineStr">
        <is>
          <t>2026-05</t>
        </is>
      </c>
      <c r="E69" s="12" t="b">
        <v>1</v>
      </c>
      <c r="F69" s="12" t="b">
        <v>1</v>
      </c>
      <c r="G69" s="12" t="b">
        <v>1</v>
      </c>
      <c r="H69" s="12" t="b">
        <v>1</v>
      </c>
      <c r="I69" s="12" t="b">
        <v>1</v>
      </c>
      <c r="J69" s="12" t="b">
        <v>0</v>
      </c>
      <c r="K69" s="12" t="b">
        <v>1</v>
      </c>
      <c r="L69" s="12" t="b">
        <v>1</v>
      </c>
      <c r="M69" s="12" t="b">
        <v>1</v>
      </c>
      <c r="N69" s="12" t="b">
        <v>1</v>
      </c>
      <c r="O69" s="12" t="n">
        <v>14</v>
      </c>
      <c r="P69" s="12" t="n">
        <v>12</v>
      </c>
      <c r="Q69" s="12" t="n">
        <v>2</v>
      </c>
      <c r="R69" s="12" t="n"/>
      <c r="S69" s="29" t="n">
        <v>46228</v>
      </c>
      <c r="T69" s="12" t="b">
        <v>1</v>
      </c>
      <c r="U69" s="12" t="b">
        <v>1</v>
      </c>
      <c r="V69" s="12" t="n">
        <v>0</v>
      </c>
      <c r="W69" s="30" t="n">
        <v>0</v>
      </c>
      <c r="X69" s="12" t="inlineStr">
        <is>
          <t>cus_R0pWX1TjkTJs1x</t>
        </is>
      </c>
      <c r="Y69" s="30" t="n">
        <v>500</v>
      </c>
      <c r="Z69" s="12" t="inlineStr">
        <is>
          <t>active</t>
        </is>
      </c>
    </row>
    <row r="70">
      <c r="A70" s="8" t="inlineStr">
        <is>
          <t>183f1663-e374-4586-81ab-34f0060edeed</t>
        </is>
      </c>
      <c r="B70" s="8" t="inlineStr">
        <is>
          <t>Arch 4 U Threading Lounge (Lakeshore Publix)</t>
        </is>
      </c>
      <c r="C70" s="27" t="n">
        <v>46150</v>
      </c>
      <c r="D70" s="8" t="inlineStr">
        <is>
          <t>2026-05</t>
        </is>
      </c>
      <c r="E70" s="8" t="b">
        <v>1</v>
      </c>
      <c r="F70" s="8" t="b">
        <v>1</v>
      </c>
      <c r="G70" s="8" t="b">
        <v>1</v>
      </c>
      <c r="H70" s="8" t="b">
        <v>1</v>
      </c>
      <c r="I70" s="8" t="b">
        <v>1</v>
      </c>
      <c r="J70" s="8" t="b">
        <v>0</v>
      </c>
      <c r="K70" s="8" t="b">
        <v>1</v>
      </c>
      <c r="L70" s="8" t="b">
        <v>1</v>
      </c>
      <c r="M70" s="8" t="b">
        <v>1</v>
      </c>
      <c r="N70" s="8" t="b">
        <v>1</v>
      </c>
      <c r="O70" s="8" t="n">
        <v>7</v>
      </c>
      <c r="P70" s="8" t="n">
        <v>6</v>
      </c>
      <c r="Q70" s="8" t="n">
        <v>1</v>
      </c>
      <c r="R70" s="8" t="n"/>
      <c r="S70" s="27" t="n">
        <v>46234</v>
      </c>
      <c r="T70" s="8" t="b">
        <v>1</v>
      </c>
      <c r="U70" s="8" t="b">
        <v>1</v>
      </c>
      <c r="V70" s="8" t="n">
        <v>0</v>
      </c>
      <c r="W70" s="28" t="n">
        <v>0</v>
      </c>
      <c r="X70" s="8" t="inlineStr">
        <is>
          <t>AzqfWHV32IOC1Y1U</t>
        </is>
      </c>
      <c r="Y70" s="28" t="n">
        <v>199</v>
      </c>
      <c r="Z70" s="8" t="inlineStr">
        <is>
          <t>active</t>
        </is>
      </c>
    </row>
    <row r="71">
      <c r="A71" s="12" t="inlineStr">
        <is>
          <t>7cd22cf7-382e-4ebd-a375-5c23b203368d</t>
        </is>
      </c>
      <c r="B71" s="12" t="inlineStr">
        <is>
          <t>JL Studio</t>
        </is>
      </c>
      <c r="C71" s="29" t="n">
        <v>46156</v>
      </c>
      <c r="D71" s="12" t="inlineStr">
        <is>
          <t>2026-05</t>
        </is>
      </c>
      <c r="E71" s="12" t="b">
        <v>1</v>
      </c>
      <c r="F71" s="12" t="b">
        <v>1</v>
      </c>
      <c r="G71" s="12" t="b">
        <v>0</v>
      </c>
      <c r="H71" s="12" t="b">
        <v>0</v>
      </c>
      <c r="I71" s="12" t="b">
        <v>0</v>
      </c>
      <c r="J71" s="12" t="b">
        <v>0</v>
      </c>
      <c r="K71" s="12" t="b">
        <v>0</v>
      </c>
      <c r="L71" s="12" t="b">
        <v>0</v>
      </c>
      <c r="M71" s="12" t="b">
        <v>0</v>
      </c>
      <c r="N71" s="12" t="b">
        <v>0</v>
      </c>
      <c r="O71" s="12" t="n">
        <v>0</v>
      </c>
      <c r="P71" s="12" t="n">
        <v>0</v>
      </c>
      <c r="Q71" s="12" t="n">
        <v>0</v>
      </c>
      <c r="R71" s="12" t="n"/>
      <c r="S71" s="29" t="n"/>
      <c r="T71" s="12" t="b">
        <v>0</v>
      </c>
      <c r="U71" s="12" t="b">
        <v>0</v>
      </c>
      <c r="V71" s="12" t="n">
        <v>0</v>
      </c>
      <c r="W71" s="30" t="n">
        <v>0</v>
      </c>
      <c r="X71" s="12" t="inlineStr">
        <is>
          <t>AzqeNwVGyY6ckRDO</t>
        </is>
      </c>
      <c r="Y71" s="30" t="n">
        <v>150</v>
      </c>
      <c r="Z71" s="12" t="inlineStr">
        <is>
          <t>active</t>
        </is>
      </c>
    </row>
    <row r="72">
      <c r="A72" s="8" t="inlineStr">
        <is>
          <t>00ea7e44-3e43-48f1-b728-b6caecc5a116</t>
        </is>
      </c>
      <c r="B72" s="8" t="inlineStr">
        <is>
          <t>Vaibhav's Spa &amp; Wellness</t>
        </is>
      </c>
      <c r="C72" s="27" t="n">
        <v>46157</v>
      </c>
      <c r="D72" s="8" t="inlineStr">
        <is>
          <t>2026-05</t>
        </is>
      </c>
      <c r="E72" s="8" t="b">
        <v>1</v>
      </c>
      <c r="F72" s="8" t="b">
        <v>1</v>
      </c>
      <c r="G72" s="8" t="b">
        <v>1</v>
      </c>
      <c r="H72" s="8" t="b">
        <v>1</v>
      </c>
      <c r="I72" s="8" t="b">
        <v>1</v>
      </c>
      <c r="J72" s="8" t="b">
        <v>0</v>
      </c>
      <c r="K72" s="8" t="b">
        <v>1</v>
      </c>
      <c r="L72" s="8" t="b">
        <v>1</v>
      </c>
      <c r="M72" s="8" t="b">
        <v>1</v>
      </c>
      <c r="N72" s="8" t="b">
        <v>1</v>
      </c>
      <c r="O72" s="8" t="n">
        <v>1</v>
      </c>
      <c r="P72" s="8" t="n">
        <v>1</v>
      </c>
      <c r="Q72" s="8" t="n">
        <v>0</v>
      </c>
      <c r="R72" s="8" t="n"/>
      <c r="S72" s="27" t="n">
        <v>46204</v>
      </c>
      <c r="T72" s="8" t="b">
        <v>1</v>
      </c>
      <c r="U72" s="8" t="b">
        <v>0</v>
      </c>
      <c r="V72" s="8" t="n">
        <v>0</v>
      </c>
      <c r="W72" s="28" t="n">
        <v>0</v>
      </c>
      <c r="X72" s="8" t="inlineStr">
        <is>
          <t>AzqSZPVOoDjBq26dz</t>
        </is>
      </c>
      <c r="Y72" s="28" t="n"/>
      <c r="Z72" s="8" t="n"/>
    </row>
    <row r="73">
      <c r="A73" s="12" t="inlineStr">
        <is>
          <t>5d1e29d2-3af1-4ef4-881b-031d38fc937d</t>
        </is>
      </c>
      <c r="B73" s="12" t="inlineStr">
        <is>
          <t>Salon Studios By Christine</t>
        </is>
      </c>
      <c r="C73" s="29" t="n">
        <v>46161</v>
      </c>
      <c r="D73" s="12" t="inlineStr">
        <is>
          <t>2026-05</t>
        </is>
      </c>
      <c r="E73" s="12" t="b">
        <v>1</v>
      </c>
      <c r="F73" s="12" t="b">
        <v>1</v>
      </c>
      <c r="G73" s="12" t="b">
        <v>1</v>
      </c>
      <c r="H73" s="12" t="b">
        <v>1</v>
      </c>
      <c r="I73" s="12" t="b">
        <v>1</v>
      </c>
      <c r="J73" s="12" t="b">
        <v>1</v>
      </c>
      <c r="K73" s="12" t="b">
        <v>0</v>
      </c>
      <c r="L73" s="12" t="b">
        <v>1</v>
      </c>
      <c r="M73" s="12" t="b">
        <v>1</v>
      </c>
      <c r="N73" s="12" t="b">
        <v>1</v>
      </c>
      <c r="O73" s="12" t="n">
        <v>152</v>
      </c>
      <c r="P73" s="12" t="n">
        <v>6</v>
      </c>
      <c r="Q73" s="12" t="n">
        <v>146</v>
      </c>
      <c r="R73" s="12" t="n"/>
      <c r="S73" s="29" t="n">
        <v>46235</v>
      </c>
      <c r="T73" s="12" t="b">
        <v>1</v>
      </c>
      <c r="U73" s="12" t="b">
        <v>1</v>
      </c>
      <c r="V73" s="12" t="n">
        <v>12</v>
      </c>
      <c r="W73" s="30" t="n">
        <v>773</v>
      </c>
      <c r="X73" s="12" t="inlineStr">
        <is>
          <t>AzhnbgV2w5t5yAGW</t>
        </is>
      </c>
      <c r="Y73" s="30" t="n">
        <v>199</v>
      </c>
      <c r="Z73" s="12" t="inlineStr">
        <is>
          <t>active</t>
        </is>
      </c>
    </row>
    <row r="74">
      <c r="A74" s="8" t="inlineStr">
        <is>
          <t>703a8130-0293-4c00-9cf0-bae2ddd72d33</t>
        </is>
      </c>
      <c r="B74" s="8" t="inlineStr">
        <is>
          <t>Zoca Seed Spa - Los Angeles</t>
        </is>
      </c>
      <c r="C74" s="27" t="n">
        <v>46162</v>
      </c>
      <c r="D74" s="8" t="inlineStr">
        <is>
          <t>2026-05</t>
        </is>
      </c>
      <c r="E74" s="8" t="b">
        <v>1</v>
      </c>
      <c r="F74" s="8" t="b">
        <v>1</v>
      </c>
      <c r="G74" s="8" t="b">
        <v>1</v>
      </c>
      <c r="H74" s="8" t="b">
        <v>1</v>
      </c>
      <c r="I74" s="8" t="b">
        <v>1</v>
      </c>
      <c r="J74" s="8" t="b">
        <v>0</v>
      </c>
      <c r="K74" s="8" t="b">
        <v>1</v>
      </c>
      <c r="L74" s="8" t="b">
        <v>1</v>
      </c>
      <c r="M74" s="8" t="b">
        <v>1</v>
      </c>
      <c r="N74" s="8" t="b">
        <v>1</v>
      </c>
      <c r="O74" s="8" t="n">
        <v>30</v>
      </c>
      <c r="P74" s="8" t="n">
        <v>30</v>
      </c>
      <c r="Q74" s="8" t="n">
        <v>0</v>
      </c>
      <c r="R74" s="8" t="n"/>
      <c r="S74" s="27" t="n">
        <v>46233</v>
      </c>
      <c r="T74" s="8" t="b">
        <v>1</v>
      </c>
      <c r="U74" s="8" t="b">
        <v>1</v>
      </c>
      <c r="V74" s="8" t="n">
        <v>0</v>
      </c>
      <c r="W74" s="28" t="n">
        <v>0</v>
      </c>
      <c r="X74" s="8" t="inlineStr">
        <is>
          <t>AzqRJiVK7p8kW3F4</t>
        </is>
      </c>
      <c r="Y74" s="28" t="n"/>
      <c r="Z74" s="8" t="n"/>
    </row>
    <row r="75">
      <c r="A75" s="12" t="inlineStr">
        <is>
          <t>acad0f36-4617-4328-9c14-f8f04a598f69</t>
        </is>
      </c>
      <c r="B75" s="12" t="inlineStr">
        <is>
          <t>Donna Skin and Body Care</t>
        </is>
      </c>
      <c r="C75" s="29" t="n">
        <v>46169</v>
      </c>
      <c r="D75" s="12" t="inlineStr">
        <is>
          <t>2026-05</t>
        </is>
      </c>
      <c r="E75" s="12" t="b">
        <v>1</v>
      </c>
      <c r="F75" s="12" t="b">
        <v>1</v>
      </c>
      <c r="G75" s="12" t="b">
        <v>1</v>
      </c>
      <c r="H75" s="12" t="b">
        <v>1</v>
      </c>
      <c r="I75" s="12" t="b">
        <v>1</v>
      </c>
      <c r="J75" s="12" t="b">
        <v>1</v>
      </c>
      <c r="K75" s="12" t="b">
        <v>0</v>
      </c>
      <c r="L75" s="12" t="b">
        <v>1</v>
      </c>
      <c r="M75" s="12" t="b">
        <v>1</v>
      </c>
      <c r="N75" s="12" t="b">
        <v>1</v>
      </c>
      <c r="O75" s="12" t="n">
        <v>105</v>
      </c>
      <c r="P75" s="12" t="n">
        <v>6</v>
      </c>
      <c r="Q75" s="12" t="n">
        <v>99</v>
      </c>
      <c r="R75" s="12" t="n"/>
      <c r="S75" s="29" t="n">
        <v>46237</v>
      </c>
      <c r="T75" s="12" t="b">
        <v>1</v>
      </c>
      <c r="U75" s="12" t="b">
        <v>1</v>
      </c>
      <c r="V75" s="12" t="n">
        <v>0</v>
      </c>
      <c r="W75" s="30" t="n">
        <v>0</v>
      </c>
      <c r="X75" s="12" t="inlineStr">
        <is>
          <t>cus_Poh76IIXOBeYB0</t>
        </is>
      </c>
      <c r="Y75" s="30" t="n">
        <v>150</v>
      </c>
      <c r="Z75" s="12" t="inlineStr">
        <is>
          <t>active</t>
        </is>
      </c>
    </row>
    <row r="76">
      <c r="A76" s="8" t="inlineStr">
        <is>
          <t>3a408f97-0f25-4863-ae1a-f059dde336ba</t>
        </is>
      </c>
      <c r="B76" s="8" t="inlineStr">
        <is>
          <t>Glow Beauty Bar</t>
        </is>
      </c>
      <c r="C76" s="27" t="n">
        <v>46174</v>
      </c>
      <c r="D76" s="8" t="inlineStr">
        <is>
          <t>2026-06</t>
        </is>
      </c>
      <c r="E76" s="8" t="b">
        <v>1</v>
      </c>
      <c r="F76" s="8" t="b">
        <v>1</v>
      </c>
      <c r="G76" s="8" t="b">
        <v>1</v>
      </c>
      <c r="H76" s="8" t="b">
        <v>1</v>
      </c>
      <c r="I76" s="8" t="b">
        <v>1</v>
      </c>
      <c r="J76" s="8" t="b">
        <v>1</v>
      </c>
      <c r="K76" s="8" t="b">
        <v>1</v>
      </c>
      <c r="L76" s="8" t="b">
        <v>1</v>
      </c>
      <c r="M76" s="8" t="b">
        <v>1</v>
      </c>
      <c r="N76" s="8" t="b">
        <v>1</v>
      </c>
      <c r="O76" s="8" t="n">
        <v>8</v>
      </c>
      <c r="P76" s="8" t="n">
        <v>2</v>
      </c>
      <c r="Q76" s="8" t="n">
        <v>4</v>
      </c>
      <c r="R76" s="8" t="n"/>
      <c r="S76" s="27" t="n">
        <v>46234</v>
      </c>
      <c r="T76" s="8" t="b">
        <v>1</v>
      </c>
      <c r="U76" s="8" t="b">
        <v>1</v>
      </c>
      <c r="V76" s="8" t="n">
        <v>0</v>
      </c>
      <c r="W76" s="28" t="n">
        <v>0</v>
      </c>
      <c r="X76" s="8" t="inlineStr">
        <is>
          <t>AzykNvVLKf3tg2rDT</t>
        </is>
      </c>
      <c r="Y76" s="28" t="n"/>
      <c r="Z76" s="8" t="inlineStr">
        <is>
          <t>in_trial</t>
        </is>
      </c>
    </row>
    <row r="77">
      <c r="A77" s="12" t="inlineStr">
        <is>
          <t>87cdf2bb-2a1a-4aaf-be18-c564cb0b1380</t>
        </is>
      </c>
      <c r="B77" s="12" t="inlineStr">
        <is>
          <t>Unique Beauty Salon</t>
        </is>
      </c>
      <c r="C77" s="29" t="n">
        <v>46175</v>
      </c>
      <c r="D77" s="12" t="inlineStr">
        <is>
          <t>2026-06</t>
        </is>
      </c>
      <c r="E77" s="12" t="b">
        <v>1</v>
      </c>
      <c r="F77" s="12" t="b">
        <v>1</v>
      </c>
      <c r="G77" s="12" t="b">
        <v>1</v>
      </c>
      <c r="H77" s="12" t="b">
        <v>1</v>
      </c>
      <c r="I77" s="12" t="b">
        <v>1</v>
      </c>
      <c r="J77" s="12" t="b">
        <v>0</v>
      </c>
      <c r="K77" s="12" t="b">
        <v>1</v>
      </c>
      <c r="L77" s="12" t="b">
        <v>1</v>
      </c>
      <c r="M77" s="12" t="b">
        <v>1</v>
      </c>
      <c r="N77" s="12" t="b">
        <v>1</v>
      </c>
      <c r="O77" s="12" t="n">
        <v>52</v>
      </c>
      <c r="P77" s="12" t="n">
        <v>12</v>
      </c>
      <c r="Q77" s="12" t="n">
        <v>40</v>
      </c>
      <c r="R77" s="12" t="n"/>
      <c r="S77" s="29" t="n">
        <v>46237</v>
      </c>
      <c r="T77" s="12" t="b">
        <v>1</v>
      </c>
      <c r="U77" s="12" t="b">
        <v>1</v>
      </c>
      <c r="V77" s="12" t="n">
        <v>0</v>
      </c>
      <c r="W77" s="30" t="n">
        <v>0</v>
      </c>
      <c r="X77" s="12" t="inlineStr">
        <is>
          <t>16BXJoVGR3oRAngO</t>
        </is>
      </c>
      <c r="Y77" s="30" t="n">
        <v>200</v>
      </c>
      <c r="Z77" s="12" t="inlineStr">
        <is>
          <t>active</t>
        </is>
      </c>
    </row>
    <row r="78">
      <c r="A78" s="8" t="inlineStr">
        <is>
          <t>8afb25bc-7109-4d13-b57a-8a4a783cf42c</t>
        </is>
      </c>
      <c r="B78" s="8" t="inlineStr">
        <is>
          <t>Reera skincare by Sahar</t>
        </is>
      </c>
      <c r="C78" s="27" t="n">
        <v>46178</v>
      </c>
      <c r="D78" s="8" t="inlineStr">
        <is>
          <t>2026-06</t>
        </is>
      </c>
      <c r="E78" s="8" t="b">
        <v>1</v>
      </c>
      <c r="F78" s="8" t="b">
        <v>1</v>
      </c>
      <c r="G78" s="8" t="b">
        <v>1</v>
      </c>
      <c r="H78" s="8" t="b">
        <v>1</v>
      </c>
      <c r="I78" s="8" t="b">
        <v>1</v>
      </c>
      <c r="J78" s="8" t="b">
        <v>1</v>
      </c>
      <c r="K78" s="8" t="b">
        <v>1</v>
      </c>
      <c r="L78" s="8" t="b">
        <v>1</v>
      </c>
      <c r="M78" s="8" t="b">
        <v>1</v>
      </c>
      <c r="N78" s="8" t="b">
        <v>1</v>
      </c>
      <c r="O78" s="8" t="n">
        <v>148</v>
      </c>
      <c r="P78" s="8" t="n">
        <v>4</v>
      </c>
      <c r="Q78" s="8" t="n">
        <v>144</v>
      </c>
      <c r="R78" s="8" t="n"/>
      <c r="S78" s="27" t="n">
        <v>46236</v>
      </c>
      <c r="T78" s="8" t="b">
        <v>1</v>
      </c>
      <c r="U78" s="8" t="b">
        <v>1</v>
      </c>
      <c r="V78" s="8" t="n">
        <v>1</v>
      </c>
      <c r="W78" s="28" t="n">
        <v>155</v>
      </c>
      <c r="X78" s="8" t="inlineStr">
        <is>
          <t>Azyb1ZVLhB7phzpC</t>
        </is>
      </c>
      <c r="Y78" s="28" t="n">
        <v>149</v>
      </c>
      <c r="Z78" s="8" t="inlineStr">
        <is>
          <t>active</t>
        </is>
      </c>
    </row>
    <row r="79">
      <c r="A79" s="12" t="inlineStr">
        <is>
          <t>a6fe6e5f-a5ef-48c7-8c68-2a3e3c4ec60b</t>
        </is>
      </c>
      <c r="B79" s="12" t="inlineStr">
        <is>
          <t>Lola’s Beauty Salon &amp; Spa</t>
        </is>
      </c>
      <c r="C79" s="29" t="n">
        <v>46181</v>
      </c>
      <c r="D79" s="12" t="inlineStr">
        <is>
          <t>2026-06</t>
        </is>
      </c>
      <c r="E79" s="12" t="b">
        <v>1</v>
      </c>
      <c r="F79" s="12" t="b">
        <v>0</v>
      </c>
      <c r="G79" s="12" t="b">
        <v>0</v>
      </c>
      <c r="H79" s="12" t="b">
        <v>0</v>
      </c>
      <c r="I79" s="12" t="b">
        <v>0</v>
      </c>
      <c r="J79" s="12" t="b">
        <v>0</v>
      </c>
      <c r="K79" s="12" t="b">
        <v>0</v>
      </c>
      <c r="L79" s="12" t="b">
        <v>0</v>
      </c>
      <c r="M79" s="12" t="b">
        <v>0</v>
      </c>
      <c r="N79" s="12" t="b">
        <v>0</v>
      </c>
      <c r="O79" s="12" t="n">
        <v>0</v>
      </c>
      <c r="P79" s="12" t="n">
        <v>0</v>
      </c>
      <c r="Q79" s="12" t="n">
        <v>0</v>
      </c>
      <c r="R79" s="12" t="n"/>
      <c r="S79" s="29" t="n"/>
      <c r="T79" s="12" t="b">
        <v>0</v>
      </c>
      <c r="U79" s="12" t="b">
        <v>0</v>
      </c>
      <c r="V79" s="12" t="n">
        <v>0</v>
      </c>
      <c r="W79" s="30" t="n">
        <v>0</v>
      </c>
      <c r="X79" s="12" t="inlineStr">
        <is>
          <t>AzyXqCVLxat1b1Dk4</t>
        </is>
      </c>
      <c r="Y79" s="30" t="n"/>
      <c r="Z79" s="12" t="n"/>
    </row>
    <row r="80">
      <c r="A80" s="8" t="inlineStr">
        <is>
          <t>3b4edf59-dc89-4a5c-b715-210952a269d8</t>
        </is>
      </c>
      <c r="B80" s="8" t="inlineStr">
        <is>
          <t>Signature PMU by Tara</t>
        </is>
      </c>
      <c r="C80" s="27" t="n">
        <v>46181</v>
      </c>
      <c r="D80" s="8" t="inlineStr">
        <is>
          <t>2026-06</t>
        </is>
      </c>
      <c r="E80" s="8" t="b">
        <v>1</v>
      </c>
      <c r="F80" s="8" t="b">
        <v>1</v>
      </c>
      <c r="G80" s="8" t="b">
        <v>1</v>
      </c>
      <c r="H80" s="8" t="b">
        <v>1</v>
      </c>
      <c r="I80" s="8" t="b">
        <v>1</v>
      </c>
      <c r="J80" s="8" t="b">
        <v>1</v>
      </c>
      <c r="K80" s="8" t="b">
        <v>1</v>
      </c>
      <c r="L80" s="8" t="b">
        <v>1</v>
      </c>
      <c r="M80" s="8" t="b">
        <v>1</v>
      </c>
      <c r="N80" s="8" t="b">
        <v>1</v>
      </c>
      <c r="O80" s="8" t="n">
        <v>25</v>
      </c>
      <c r="P80" s="8" t="n">
        <v>1</v>
      </c>
      <c r="Q80" s="8" t="n">
        <v>23</v>
      </c>
      <c r="R80" s="8" t="n"/>
      <c r="S80" s="27" t="n">
        <v>46231</v>
      </c>
      <c r="T80" s="8" t="b">
        <v>1</v>
      </c>
      <c r="U80" s="8" t="b">
        <v>1</v>
      </c>
      <c r="V80" s="8" t="n">
        <v>17</v>
      </c>
      <c r="W80" s="28" t="n">
        <v>4678</v>
      </c>
      <c r="X80" s="8" t="inlineStr">
        <is>
          <t>AzqSUYVLxyVyl1Sto</t>
        </is>
      </c>
      <c r="Y80" s="28" t="n">
        <v>149</v>
      </c>
      <c r="Z80" s="8" t="inlineStr">
        <is>
          <t>active</t>
        </is>
      </c>
    </row>
    <row r="81">
      <c r="A81" s="12" t="inlineStr">
        <is>
          <t>001ab98f-78dd-4c5f-be56-33c5cbb6ca51</t>
        </is>
      </c>
      <c r="B81" s="12" t="inlineStr">
        <is>
          <t>L&amp;R Beauty</t>
        </is>
      </c>
      <c r="C81" s="29" t="n">
        <v>46181</v>
      </c>
      <c r="D81" s="12" t="inlineStr">
        <is>
          <t>2026-06</t>
        </is>
      </c>
      <c r="E81" s="12" t="b">
        <v>1</v>
      </c>
      <c r="F81" s="12" t="b">
        <v>1</v>
      </c>
      <c r="G81" s="12" t="b">
        <v>1</v>
      </c>
      <c r="H81" s="12" t="b">
        <v>1</v>
      </c>
      <c r="I81" s="12" t="b">
        <v>1</v>
      </c>
      <c r="J81" s="12" t="b">
        <v>1</v>
      </c>
      <c r="K81" s="12" t="b">
        <v>0</v>
      </c>
      <c r="L81" s="12" t="b">
        <v>1</v>
      </c>
      <c r="M81" s="12" t="b">
        <v>1</v>
      </c>
      <c r="N81" s="12" t="b">
        <v>1</v>
      </c>
      <c r="O81" s="12" t="n">
        <v>11</v>
      </c>
      <c r="P81" s="12" t="n">
        <v>4</v>
      </c>
      <c r="Q81" s="12" t="n">
        <v>7</v>
      </c>
      <c r="R81" s="12" t="n"/>
      <c r="S81" s="29" t="n">
        <v>46226</v>
      </c>
      <c r="T81" s="12" t="b">
        <v>1</v>
      </c>
      <c r="U81" s="12" t="b">
        <v>1</v>
      </c>
      <c r="V81" s="12" t="n">
        <v>1</v>
      </c>
      <c r="W81" s="30" t="n">
        <v>17</v>
      </c>
      <c r="X81" s="12" t="inlineStr">
        <is>
          <t>AzqVnTUtlj7Ua2MIu</t>
        </is>
      </c>
      <c r="Y81" s="30" t="n">
        <v>199</v>
      </c>
      <c r="Z81" s="12" t="inlineStr">
        <is>
          <t>active</t>
        </is>
      </c>
    </row>
    <row r="82">
      <c r="A82" s="8" t="inlineStr">
        <is>
          <t>533bbd60-2581-4a79-9624-2bcd8fc6c044</t>
        </is>
      </c>
      <c r="B82" s="8" t="inlineStr">
        <is>
          <t>SUR MedSpa (Medical Spa) - Marietta, GA</t>
        </is>
      </c>
      <c r="C82" s="27" t="n">
        <v>46182</v>
      </c>
      <c r="D82" s="8" t="inlineStr">
        <is>
          <t>2026-06</t>
        </is>
      </c>
      <c r="E82" s="8" t="b">
        <v>1</v>
      </c>
      <c r="F82" s="8" t="b">
        <v>1</v>
      </c>
      <c r="G82" s="8" t="b">
        <v>1</v>
      </c>
      <c r="H82" s="8" t="b">
        <v>1</v>
      </c>
      <c r="I82" s="8" t="b">
        <v>1</v>
      </c>
      <c r="J82" s="8" t="b">
        <v>1</v>
      </c>
      <c r="K82" s="8" t="b">
        <v>1</v>
      </c>
      <c r="L82" s="8" t="b">
        <v>1</v>
      </c>
      <c r="M82" s="8" t="b">
        <v>1</v>
      </c>
      <c r="N82" s="8" t="b">
        <v>1</v>
      </c>
      <c r="O82" s="8" t="n">
        <v>32</v>
      </c>
      <c r="P82" s="8" t="n">
        <v>32</v>
      </c>
      <c r="Q82" s="8" t="n">
        <v>0</v>
      </c>
      <c r="R82" s="8" t="n"/>
      <c r="S82" s="27" t="n">
        <v>46237</v>
      </c>
      <c r="T82" s="8" t="b">
        <v>1</v>
      </c>
      <c r="U82" s="8" t="b">
        <v>1</v>
      </c>
      <c r="V82" s="8" t="n">
        <v>0</v>
      </c>
      <c r="W82" s="28" t="n">
        <v>0</v>
      </c>
      <c r="X82" s="8" t="inlineStr">
        <is>
          <t>6oZmhVLgAthnMfr</t>
        </is>
      </c>
      <c r="Y82" s="28" t="n">
        <v>297</v>
      </c>
      <c r="Z82" s="8" t="inlineStr">
        <is>
          <t>active</t>
        </is>
      </c>
    </row>
    <row r="83">
      <c r="A83" s="12" t="inlineStr">
        <is>
          <t>966f3e29-ea65-4c8a-96ef-53427422882d</t>
        </is>
      </c>
      <c r="B83" s="12" t="inlineStr">
        <is>
          <t>Bodies-N-Motion LLC</t>
        </is>
      </c>
      <c r="C83" s="29" t="n">
        <v>46182</v>
      </c>
      <c r="D83" s="12" t="inlineStr">
        <is>
          <t>2026-06</t>
        </is>
      </c>
      <c r="E83" s="12" t="b">
        <v>1</v>
      </c>
      <c r="F83" s="12" t="b">
        <v>1</v>
      </c>
      <c r="G83" s="12" t="b">
        <v>1</v>
      </c>
      <c r="H83" s="12" t="b">
        <v>1</v>
      </c>
      <c r="I83" s="12" t="b">
        <v>1</v>
      </c>
      <c r="J83" s="12" t="b">
        <v>1</v>
      </c>
      <c r="K83" s="12" t="b">
        <v>0</v>
      </c>
      <c r="L83" s="12" t="b">
        <v>1</v>
      </c>
      <c r="M83" s="12" t="b">
        <v>1</v>
      </c>
      <c r="N83" s="12" t="b">
        <v>1</v>
      </c>
      <c r="O83" s="12" t="n">
        <v>2</v>
      </c>
      <c r="P83" s="12" t="n">
        <v>2</v>
      </c>
      <c r="Q83" s="12" t="n">
        <v>0</v>
      </c>
      <c r="R83" s="12" t="n"/>
      <c r="S83" s="29" t="n">
        <v>46185</v>
      </c>
      <c r="T83" s="12" t="b">
        <v>1</v>
      </c>
      <c r="U83" s="12" t="b">
        <v>0</v>
      </c>
      <c r="V83" s="12" t="n">
        <v>2</v>
      </c>
      <c r="W83" s="30" t="n">
        <v>210</v>
      </c>
      <c r="X83" s="12" t="inlineStr">
        <is>
          <t>AzhqL2V2XHc6D8wEA</t>
        </is>
      </c>
      <c r="Y83" s="30" t="n">
        <v>249</v>
      </c>
      <c r="Z83" s="12" t="inlineStr">
        <is>
          <t>active</t>
        </is>
      </c>
    </row>
    <row r="84">
      <c r="A84" s="8" t="inlineStr">
        <is>
          <t>82ce3fbb-32b8-489f-ae35-4cd0efe34fa8</t>
        </is>
      </c>
      <c r="B84" s="8" t="inlineStr">
        <is>
          <t>Lumiere Medspa LLC</t>
        </is>
      </c>
      <c r="C84" s="27" t="n">
        <v>46182</v>
      </c>
      <c r="D84" s="8" t="inlineStr">
        <is>
          <t>2026-06</t>
        </is>
      </c>
      <c r="E84" s="8" t="b">
        <v>1</v>
      </c>
      <c r="F84" s="8" t="b">
        <v>1</v>
      </c>
      <c r="G84" s="8" t="b">
        <v>1</v>
      </c>
      <c r="H84" s="8" t="b">
        <v>1</v>
      </c>
      <c r="I84" s="8" t="b">
        <v>1</v>
      </c>
      <c r="J84" s="8" t="b">
        <v>1</v>
      </c>
      <c r="K84" s="8" t="b">
        <v>1</v>
      </c>
      <c r="L84" s="8" t="b">
        <v>1</v>
      </c>
      <c r="M84" s="8" t="b">
        <v>1</v>
      </c>
      <c r="N84" s="8" t="b">
        <v>1</v>
      </c>
      <c r="O84" s="8" t="n">
        <v>8</v>
      </c>
      <c r="P84" s="8" t="n">
        <v>8</v>
      </c>
      <c r="Q84" s="8" t="n">
        <v>0</v>
      </c>
      <c r="R84" s="8" t="n"/>
      <c r="S84" s="27" t="n">
        <v>46224</v>
      </c>
      <c r="T84" s="8" t="b">
        <v>1</v>
      </c>
      <c r="U84" s="8" t="b">
        <v>1</v>
      </c>
      <c r="V84" s="8" t="n">
        <v>1</v>
      </c>
      <c r="W84" s="28" t="n">
        <v>100</v>
      </c>
      <c r="X84" s="8" t="inlineStr">
        <is>
          <t>AzqDccVM5Cfjg2SXT</t>
        </is>
      </c>
      <c r="Y84" s="28" t="n">
        <v>248</v>
      </c>
      <c r="Z84" s="8" t="inlineStr">
        <is>
          <t>active</t>
        </is>
      </c>
    </row>
    <row r="85">
      <c r="A85" s="12" t="inlineStr">
        <is>
          <t>ef9e7a97-edfa-4db3-94d1-dc7fdbce7bb0</t>
        </is>
      </c>
      <c r="B85" s="12" t="inlineStr">
        <is>
          <t>Peggy's Mobile Hair Braiding and Dreadlocks</t>
        </is>
      </c>
      <c r="C85" s="29" t="n">
        <v>46183</v>
      </c>
      <c r="D85" s="12" t="inlineStr">
        <is>
          <t>2026-06</t>
        </is>
      </c>
      <c r="E85" s="12" t="b">
        <v>1</v>
      </c>
      <c r="F85" s="12" t="b">
        <v>1</v>
      </c>
      <c r="G85" s="12" t="b">
        <v>1</v>
      </c>
      <c r="H85" s="12" t="b">
        <v>1</v>
      </c>
      <c r="I85" s="12" t="b">
        <v>1</v>
      </c>
      <c r="J85" s="12" t="b">
        <v>0</v>
      </c>
      <c r="K85" s="12" t="b">
        <v>1</v>
      </c>
      <c r="L85" s="12" t="b">
        <v>1</v>
      </c>
      <c r="M85" s="12" t="b">
        <v>1</v>
      </c>
      <c r="N85" s="12" t="b">
        <v>1</v>
      </c>
      <c r="O85" s="12" t="n">
        <v>6</v>
      </c>
      <c r="P85" s="12" t="n">
        <v>6</v>
      </c>
      <c r="Q85" s="12" t="n">
        <v>0</v>
      </c>
      <c r="R85" s="12" t="n"/>
      <c r="S85" s="29" t="n">
        <v>46236</v>
      </c>
      <c r="T85" s="12" t="b">
        <v>1</v>
      </c>
      <c r="U85" s="12" t="b">
        <v>1</v>
      </c>
      <c r="V85" s="12" t="n">
        <v>0</v>
      </c>
      <c r="W85" s="30" t="n">
        <v>0</v>
      </c>
      <c r="X85" s="12" t="inlineStr">
        <is>
          <t>16CH9nUnpd0zW45NH</t>
        </is>
      </c>
      <c r="Y85" s="30" t="n">
        <v>199</v>
      </c>
      <c r="Z85" s="12" t="inlineStr">
        <is>
          <t>non_renewing</t>
        </is>
      </c>
    </row>
    <row r="86">
      <c r="A86" s="8" t="inlineStr">
        <is>
          <t>2153eaf7-af4e-45f1-bc4e-0be39b8e57bf</t>
        </is>
      </c>
      <c r="B86" s="8" t="inlineStr">
        <is>
          <t>Level up with Sam</t>
        </is>
      </c>
      <c r="C86" s="27" t="n">
        <v>46184</v>
      </c>
      <c r="D86" s="8" t="inlineStr">
        <is>
          <t>2026-06</t>
        </is>
      </c>
      <c r="E86" s="8" t="b">
        <v>1</v>
      </c>
      <c r="F86" s="8" t="b">
        <v>1</v>
      </c>
      <c r="G86" s="8" t="b">
        <v>0</v>
      </c>
      <c r="H86" s="8" t="b">
        <v>0</v>
      </c>
      <c r="I86" s="8" t="b">
        <v>0</v>
      </c>
      <c r="J86" s="8" t="b">
        <v>0</v>
      </c>
      <c r="K86" s="8" t="b">
        <v>0</v>
      </c>
      <c r="L86" s="8" t="b">
        <v>0</v>
      </c>
      <c r="M86" s="8" t="b">
        <v>0</v>
      </c>
      <c r="N86" s="8" t="b">
        <v>0</v>
      </c>
      <c r="O86" s="8" t="n">
        <v>0</v>
      </c>
      <c r="P86" s="8" t="n">
        <v>0</v>
      </c>
      <c r="Q86" s="8" t="n">
        <v>0</v>
      </c>
      <c r="R86" s="8" t="n"/>
      <c r="S86" s="27" t="n"/>
      <c r="T86" s="8" t="b">
        <v>0</v>
      </c>
      <c r="U86" s="8" t="b">
        <v>0</v>
      </c>
      <c r="V86" s="8" t="n">
        <v>0</v>
      </c>
      <c r="W86" s="28" t="n">
        <v>0</v>
      </c>
      <c r="X86" s="8" t="inlineStr">
        <is>
          <t>AzhjxVVJLCLQCadW</t>
        </is>
      </c>
      <c r="Y86" s="28" t="n">
        <v>150</v>
      </c>
      <c r="Z86" s="8" t="inlineStr">
        <is>
          <t>active</t>
        </is>
      </c>
    </row>
    <row r="87">
      <c r="A87" s="12" t="inlineStr">
        <is>
          <t>bc1211a0-0a9f-46ad-8419-6fb46149ca94</t>
        </is>
      </c>
      <c r="B87" s="12" t="inlineStr">
        <is>
          <t>Garden Glam Beauty</t>
        </is>
      </c>
      <c r="C87" s="29" t="n">
        <v>46185</v>
      </c>
      <c r="D87" s="12" t="inlineStr">
        <is>
          <t>2026-06</t>
        </is>
      </c>
      <c r="E87" s="12" t="b">
        <v>1</v>
      </c>
      <c r="F87" s="12" t="b">
        <v>1</v>
      </c>
      <c r="G87" s="12" t="b">
        <v>1</v>
      </c>
      <c r="H87" s="12" t="b">
        <v>1</v>
      </c>
      <c r="I87" s="12" t="b">
        <v>1</v>
      </c>
      <c r="J87" s="12" t="b">
        <v>0</v>
      </c>
      <c r="K87" s="12" t="b">
        <v>1</v>
      </c>
      <c r="L87" s="12" t="b">
        <v>1</v>
      </c>
      <c r="M87" s="12" t="b">
        <v>1</v>
      </c>
      <c r="N87" s="12" t="b">
        <v>1</v>
      </c>
      <c r="O87" s="12" t="n">
        <v>53</v>
      </c>
      <c r="P87" s="12" t="n">
        <v>17</v>
      </c>
      <c r="Q87" s="12" t="n">
        <v>36</v>
      </c>
      <c r="R87" s="12" t="n"/>
      <c r="S87" s="29" t="n">
        <v>46235</v>
      </c>
      <c r="T87" s="12" t="b">
        <v>1</v>
      </c>
      <c r="U87" s="12" t="b">
        <v>1</v>
      </c>
      <c r="V87" s="12" t="n">
        <v>0</v>
      </c>
      <c r="W87" s="30" t="n">
        <v>0</v>
      </c>
      <c r="X87" s="12" t="inlineStr">
        <is>
          <t>16CJlsUuvECiE1f2i</t>
        </is>
      </c>
      <c r="Y87" s="30" t="n">
        <v>249</v>
      </c>
      <c r="Z87" s="12" t="inlineStr">
        <is>
          <t>active</t>
        </is>
      </c>
    </row>
    <row r="88">
      <c r="A88" s="8" t="inlineStr">
        <is>
          <t>358e8178-6044-4c44-b28d-9400f6dcefa3</t>
        </is>
      </c>
      <c r="B88" s="8" t="inlineStr">
        <is>
          <t>Sankofa Braiding &amp; Natural HairCare</t>
        </is>
      </c>
      <c r="C88" s="27" t="n">
        <v>46188</v>
      </c>
      <c r="D88" s="8" t="inlineStr">
        <is>
          <t>2026-06</t>
        </is>
      </c>
      <c r="E88" s="8" t="b">
        <v>1</v>
      </c>
      <c r="F88" s="8" t="b">
        <v>0</v>
      </c>
      <c r="G88" s="8" t="b">
        <v>0</v>
      </c>
      <c r="H88" s="8" t="b">
        <v>0</v>
      </c>
      <c r="I88" s="8" t="b">
        <v>0</v>
      </c>
      <c r="J88" s="8" t="b">
        <v>0</v>
      </c>
      <c r="K88" s="8" t="b">
        <v>0</v>
      </c>
      <c r="L88" s="8" t="b">
        <v>0</v>
      </c>
      <c r="M88" s="8" t="b">
        <v>0</v>
      </c>
      <c r="N88" s="8" t="b">
        <v>0</v>
      </c>
      <c r="O88" s="8" t="n">
        <v>0</v>
      </c>
      <c r="P88" s="8" t="n">
        <v>0</v>
      </c>
      <c r="Q88" s="8" t="n">
        <v>0</v>
      </c>
      <c r="R88" s="8" t="n"/>
      <c r="S88" s="27" t="n"/>
      <c r="T88" s="8" t="b">
        <v>0</v>
      </c>
      <c r="U88" s="8" t="b">
        <v>0</v>
      </c>
      <c r="V88" s="8" t="n">
        <v>0</v>
      </c>
      <c r="W88" s="28" t="n">
        <v>0</v>
      </c>
      <c r="X88" s="8" t="inlineStr">
        <is>
          <t>AzZXJJVMdLCmN1qhl</t>
        </is>
      </c>
      <c r="Y88" s="28" t="n"/>
      <c r="Z88" s="8" t="n"/>
    </row>
    <row r="89">
      <c r="A89" s="12" t="inlineStr">
        <is>
          <t>7c1e0100-3a01-4b8b-91e2-643fc6c844b4</t>
        </is>
      </c>
      <c r="B89" s="12" t="inlineStr">
        <is>
          <t>Heights Retreat Salon and Spa - facial massage pedicure manicure &amp; lash Houston TX</t>
        </is>
      </c>
      <c r="C89" s="29" t="n">
        <v>46189</v>
      </c>
      <c r="D89" s="12" t="inlineStr">
        <is>
          <t>2026-06</t>
        </is>
      </c>
      <c r="E89" s="12" t="b">
        <v>1</v>
      </c>
      <c r="F89" s="12" t="b">
        <v>1</v>
      </c>
      <c r="G89" s="12" t="b">
        <v>1</v>
      </c>
      <c r="H89" s="12" t="b">
        <v>1</v>
      </c>
      <c r="I89" s="12" t="b">
        <v>1</v>
      </c>
      <c r="J89" s="12" t="b">
        <v>1</v>
      </c>
      <c r="K89" s="12" t="b">
        <v>0</v>
      </c>
      <c r="L89" s="12" t="b">
        <v>1</v>
      </c>
      <c r="M89" s="12" t="b">
        <v>1</v>
      </c>
      <c r="N89" s="12" t="b">
        <v>1</v>
      </c>
      <c r="O89" s="12" t="n">
        <v>14</v>
      </c>
      <c r="P89" s="12" t="n">
        <v>8</v>
      </c>
      <c r="Q89" s="12" t="n">
        <v>4</v>
      </c>
      <c r="R89" s="12" t="n"/>
      <c r="S89" s="29" t="n">
        <v>46236</v>
      </c>
      <c r="T89" s="12" t="b">
        <v>1</v>
      </c>
      <c r="U89" s="12" t="b">
        <v>1</v>
      </c>
      <c r="V89" s="12" t="n">
        <v>8</v>
      </c>
      <c r="W89" s="30" t="n">
        <v>412</v>
      </c>
      <c r="X89" s="12" t="inlineStr">
        <is>
          <t>16BZ98Ur9O82a3o07</t>
        </is>
      </c>
      <c r="Y89" s="30" t="n">
        <v>249</v>
      </c>
      <c r="Z89" s="12" t="inlineStr">
        <is>
          <t>active</t>
        </is>
      </c>
    </row>
    <row r="90">
      <c r="A90" s="8" t="inlineStr">
        <is>
          <t>7e641122-2d20-48f5-a6c7-1ba4ff5b991d</t>
        </is>
      </c>
      <c r="B90" s="8" t="inlineStr">
        <is>
          <t>Natasha salon</t>
        </is>
      </c>
      <c r="C90" s="27" t="n">
        <v>46190</v>
      </c>
      <c r="D90" s="8" t="inlineStr">
        <is>
          <t>2026-06</t>
        </is>
      </c>
      <c r="E90" s="8" t="b">
        <v>1</v>
      </c>
      <c r="F90" s="8" t="b">
        <v>1</v>
      </c>
      <c r="G90" s="8" t="b">
        <v>1</v>
      </c>
      <c r="H90" s="8" t="b">
        <v>1</v>
      </c>
      <c r="I90" s="8" t="b">
        <v>1</v>
      </c>
      <c r="J90" s="8" t="b">
        <v>0</v>
      </c>
      <c r="K90" s="8" t="b">
        <v>1</v>
      </c>
      <c r="L90" s="8" t="b">
        <v>1</v>
      </c>
      <c r="M90" s="8" t="b">
        <v>1</v>
      </c>
      <c r="N90" s="8" t="b">
        <v>1</v>
      </c>
      <c r="O90" s="8" t="n">
        <v>4</v>
      </c>
      <c r="P90" s="8" t="n">
        <v>3</v>
      </c>
      <c r="Q90" s="8" t="n">
        <v>1</v>
      </c>
      <c r="R90" s="8" t="n"/>
      <c r="S90" s="27" t="n">
        <v>46193</v>
      </c>
      <c r="T90" s="8" t="b">
        <v>1</v>
      </c>
      <c r="U90" s="8" t="b">
        <v>0</v>
      </c>
      <c r="V90" s="8" t="n">
        <v>1</v>
      </c>
      <c r="W90" s="28" t="n">
        <v>200</v>
      </c>
      <c r="X90" s="8" t="n"/>
      <c r="Y90" s="28" t="n"/>
      <c r="Z90" s="8" t="n"/>
    </row>
    <row r="91">
      <c r="A91" s="12" t="inlineStr">
        <is>
          <t>86cc7d1a-6d76-4a49-8f3c-11ad32431417</t>
        </is>
      </c>
      <c r="B91" s="12" t="inlineStr">
        <is>
          <t>Viora Beauty Spa</t>
        </is>
      </c>
      <c r="C91" s="29" t="n">
        <v>46190</v>
      </c>
      <c r="D91" s="12" t="inlineStr">
        <is>
          <t>2026-06</t>
        </is>
      </c>
      <c r="E91" s="12" t="b">
        <v>1</v>
      </c>
      <c r="F91" s="12" t="b">
        <v>1</v>
      </c>
      <c r="G91" s="12" t="b">
        <v>1</v>
      </c>
      <c r="H91" s="12" t="b">
        <v>1</v>
      </c>
      <c r="I91" s="12" t="b">
        <v>1</v>
      </c>
      <c r="J91" s="12" t="b">
        <v>1</v>
      </c>
      <c r="K91" s="12" t="b">
        <v>1</v>
      </c>
      <c r="L91" s="12" t="b">
        <v>1</v>
      </c>
      <c r="M91" s="12" t="b">
        <v>1</v>
      </c>
      <c r="N91" s="12" t="b">
        <v>1</v>
      </c>
      <c r="O91" s="12" t="n">
        <v>318</v>
      </c>
      <c r="P91" s="12" t="n">
        <v>35</v>
      </c>
      <c r="Q91" s="12" t="n">
        <v>43</v>
      </c>
      <c r="R91" s="12" t="n"/>
      <c r="S91" s="29" t="n">
        <v>46237</v>
      </c>
      <c r="T91" s="12" t="b">
        <v>1</v>
      </c>
      <c r="U91" s="12" t="b">
        <v>1</v>
      </c>
      <c r="V91" s="12" t="n">
        <v>45</v>
      </c>
      <c r="W91" s="30" t="n">
        <v>4026.35</v>
      </c>
      <c r="X91" s="12" t="inlineStr">
        <is>
          <t>16BSCSVMp7TmJ2IC1</t>
        </is>
      </c>
      <c r="Y91" s="30" t="n">
        <v>149</v>
      </c>
      <c r="Z91" s="12" t="inlineStr">
        <is>
          <t>active</t>
        </is>
      </c>
    </row>
    <row r="92">
      <c r="A92" s="8" t="inlineStr">
        <is>
          <t>558729b7-6f19-4de4-b76a-59cb9192f294</t>
        </is>
      </c>
      <c r="B92" s="8" t="inlineStr">
        <is>
          <t>Designs by Terrie | Hair Salon</t>
        </is>
      </c>
      <c r="C92" s="27" t="n">
        <v>46190</v>
      </c>
      <c r="D92" s="8" t="inlineStr">
        <is>
          <t>2026-06</t>
        </is>
      </c>
      <c r="E92" s="8" t="b">
        <v>1</v>
      </c>
      <c r="F92" s="8" t="b">
        <v>1</v>
      </c>
      <c r="G92" s="8" t="b">
        <v>1</v>
      </c>
      <c r="H92" s="8" t="b">
        <v>1</v>
      </c>
      <c r="I92" s="8" t="b">
        <v>1</v>
      </c>
      <c r="J92" s="8" t="b">
        <v>0</v>
      </c>
      <c r="K92" s="8" t="b">
        <v>1</v>
      </c>
      <c r="L92" s="8" t="b">
        <v>1</v>
      </c>
      <c r="M92" s="8" t="b">
        <v>1</v>
      </c>
      <c r="N92" s="8" t="b">
        <v>1</v>
      </c>
      <c r="O92" s="8" t="n">
        <v>3</v>
      </c>
      <c r="P92" s="8" t="n">
        <v>3</v>
      </c>
      <c r="Q92" s="8" t="n">
        <v>0</v>
      </c>
      <c r="R92" s="8" t="n"/>
      <c r="S92" s="27" t="n">
        <v>46211</v>
      </c>
      <c r="T92" s="8" t="b">
        <v>1</v>
      </c>
      <c r="U92" s="8" t="b">
        <v>1</v>
      </c>
      <c r="V92" s="8" t="n">
        <v>0</v>
      </c>
      <c r="W92" s="28" t="n">
        <v>0</v>
      </c>
      <c r="X92" s="8" t="inlineStr">
        <is>
          <t>cus_PSCqp2cfPX10XX</t>
        </is>
      </c>
      <c r="Y92" s="28" t="n">
        <v>70</v>
      </c>
      <c r="Z92" s="8" t="inlineStr">
        <is>
          <t>active</t>
        </is>
      </c>
    </row>
    <row r="93">
      <c r="A93" s="12" t="inlineStr">
        <is>
          <t>71031ed6-149b-4398-9244-5b90c7a565ff</t>
        </is>
      </c>
      <c r="B93" s="12" t="inlineStr">
        <is>
          <t>Amenity Wax Spot &amp; Spa</t>
        </is>
      </c>
      <c r="C93" s="29" t="n">
        <v>46190</v>
      </c>
      <c r="D93" s="12" t="inlineStr">
        <is>
          <t>2026-06</t>
        </is>
      </c>
      <c r="E93" s="12" t="b">
        <v>1</v>
      </c>
      <c r="F93" s="12" t="b">
        <v>1</v>
      </c>
      <c r="G93" s="12" t="b">
        <v>1</v>
      </c>
      <c r="H93" s="12" t="b">
        <v>1</v>
      </c>
      <c r="I93" s="12" t="b">
        <v>1</v>
      </c>
      <c r="J93" s="12" t="b">
        <v>0</v>
      </c>
      <c r="K93" s="12" t="b">
        <v>1</v>
      </c>
      <c r="L93" s="12" t="b">
        <v>1</v>
      </c>
      <c r="M93" s="12" t="b">
        <v>1</v>
      </c>
      <c r="N93" s="12" t="b">
        <v>1</v>
      </c>
      <c r="O93" s="12" t="n">
        <v>34</v>
      </c>
      <c r="P93" s="12" t="n">
        <v>23</v>
      </c>
      <c r="Q93" s="12" t="n">
        <v>10</v>
      </c>
      <c r="R93" s="12" t="n"/>
      <c r="S93" s="29" t="n">
        <v>46234</v>
      </c>
      <c r="T93" s="12" t="b">
        <v>1</v>
      </c>
      <c r="U93" s="12" t="b">
        <v>1</v>
      </c>
      <c r="V93" s="12" t="n">
        <v>6</v>
      </c>
      <c r="W93" s="30" t="n">
        <v>155</v>
      </c>
      <c r="X93" s="12" t="inlineStr">
        <is>
          <t>16BaFTVFSXmKn57oO</t>
        </is>
      </c>
      <c r="Y93" s="30" t="n">
        <v>150</v>
      </c>
      <c r="Z93" s="12" t="inlineStr">
        <is>
          <t>active</t>
        </is>
      </c>
    </row>
    <row r="94">
      <c r="A94" s="8" t="inlineStr">
        <is>
          <t>43d2e527-f67d-4c2a-8f20-b399b82640c6</t>
        </is>
      </c>
      <c r="B94" s="8" t="inlineStr">
        <is>
          <t>Sinkor Beauty Salon - Hair, Spa &amp; Beauty</t>
        </is>
      </c>
      <c r="C94" s="27" t="n">
        <v>46192</v>
      </c>
      <c r="D94" s="8" t="inlineStr">
        <is>
          <t>2026-06</t>
        </is>
      </c>
      <c r="E94" s="8" t="b">
        <v>1</v>
      </c>
      <c r="F94" s="8" t="b">
        <v>1</v>
      </c>
      <c r="G94" s="8" t="b">
        <v>1</v>
      </c>
      <c r="H94" s="8" t="b">
        <v>1</v>
      </c>
      <c r="I94" s="8" t="b">
        <v>0</v>
      </c>
      <c r="J94" s="8" t="b">
        <v>0</v>
      </c>
      <c r="K94" s="8" t="b">
        <v>0</v>
      </c>
      <c r="L94" s="8" t="b">
        <v>0</v>
      </c>
      <c r="M94" s="8" t="b">
        <v>0</v>
      </c>
      <c r="N94" s="8" t="b">
        <v>0</v>
      </c>
      <c r="O94" s="8" t="n">
        <v>0</v>
      </c>
      <c r="P94" s="8" t="n">
        <v>0</v>
      </c>
      <c r="Q94" s="8" t="n">
        <v>0</v>
      </c>
      <c r="R94" s="8" t="n"/>
      <c r="S94" s="27" t="n"/>
      <c r="T94" s="8" t="b">
        <v>0</v>
      </c>
      <c r="U94" s="8" t="b">
        <v>0</v>
      </c>
      <c r="V94" s="8" t="n">
        <v>0</v>
      </c>
      <c r="W94" s="28" t="n">
        <v>0</v>
      </c>
      <c r="X94" s="8" t="inlineStr">
        <is>
          <t>AzZcOiUwRg8tf3wBX</t>
        </is>
      </c>
      <c r="Y94" s="28" t="n">
        <v>100</v>
      </c>
      <c r="Z94" s="8" t="inlineStr">
        <is>
          <t>active</t>
        </is>
      </c>
    </row>
    <row r="95">
      <c r="A95" s="12" t="inlineStr">
        <is>
          <t>ceebf0e9-19ca-4f99-8adc-b34f9e75b1bd</t>
        </is>
      </c>
      <c r="B95" s="12" t="inlineStr">
        <is>
          <t>Shine BE Happy - Hair, Nails &amp; Skincare</t>
        </is>
      </c>
      <c r="C95" s="29" t="n">
        <v>46195</v>
      </c>
      <c r="D95" s="12" t="inlineStr">
        <is>
          <t>2026-06</t>
        </is>
      </c>
      <c r="E95" s="12" t="b">
        <v>1</v>
      </c>
      <c r="F95" s="12" t="b">
        <v>1</v>
      </c>
      <c r="G95" s="12" t="b">
        <v>1</v>
      </c>
      <c r="H95" s="12" t="b">
        <v>1</v>
      </c>
      <c r="I95" s="12" t="b">
        <v>1</v>
      </c>
      <c r="J95" s="12" t="b">
        <v>0</v>
      </c>
      <c r="K95" s="12" t="b">
        <v>1</v>
      </c>
      <c r="L95" s="12" t="b">
        <v>1</v>
      </c>
      <c r="M95" s="12" t="b">
        <v>1</v>
      </c>
      <c r="N95" s="12" t="b">
        <v>1</v>
      </c>
      <c r="O95" s="12" t="n">
        <v>7</v>
      </c>
      <c r="P95" s="12" t="n">
        <v>0</v>
      </c>
      <c r="Q95" s="12" t="n">
        <v>3</v>
      </c>
      <c r="R95" s="12" t="n"/>
      <c r="S95" s="29" t="n">
        <v>46237</v>
      </c>
      <c r="T95" s="12" t="b">
        <v>1</v>
      </c>
      <c r="U95" s="12" t="b">
        <v>1</v>
      </c>
      <c r="V95" s="12" t="n">
        <v>0</v>
      </c>
      <c r="W95" s="30" t="n">
        <v>0</v>
      </c>
      <c r="X95" s="12" t="inlineStr">
        <is>
          <t>cus_PM7OMgw7oXsQfD</t>
        </is>
      </c>
      <c r="Y95" s="30" t="n">
        <v>120</v>
      </c>
      <c r="Z95" s="12" t="inlineStr">
        <is>
          <t>active</t>
        </is>
      </c>
    </row>
    <row r="96">
      <c r="A96" s="8" t="inlineStr">
        <is>
          <t>1d25fd64-ff11-478c-b68c-fd6f6fc94bce</t>
        </is>
      </c>
      <c r="B96" s="8" t="inlineStr">
        <is>
          <t>The Allure Marian Unisex Salon</t>
        </is>
      </c>
      <c r="C96" s="27" t="n">
        <v>46195</v>
      </c>
      <c r="D96" s="8" t="inlineStr">
        <is>
          <t>2026-06</t>
        </is>
      </c>
      <c r="E96" s="8" t="b">
        <v>1</v>
      </c>
      <c r="F96" s="8" t="b">
        <v>1</v>
      </c>
      <c r="G96" s="8" t="b">
        <v>1</v>
      </c>
      <c r="H96" s="8" t="b">
        <v>1</v>
      </c>
      <c r="I96" s="8" t="b">
        <v>1</v>
      </c>
      <c r="J96" s="8" t="b">
        <v>0</v>
      </c>
      <c r="K96" s="8" t="b">
        <v>1</v>
      </c>
      <c r="L96" s="8" t="b">
        <v>1</v>
      </c>
      <c r="M96" s="8" t="b">
        <v>1</v>
      </c>
      <c r="N96" s="8" t="b">
        <v>1</v>
      </c>
      <c r="O96" s="8" t="n">
        <v>5</v>
      </c>
      <c r="P96" s="8" t="n">
        <v>5</v>
      </c>
      <c r="Q96" s="8" t="n">
        <v>0</v>
      </c>
      <c r="R96" s="8" t="inlineStr">
        <is>
          <t>SQUARE</t>
        </is>
      </c>
      <c r="S96" s="27" t="n">
        <v>46237</v>
      </c>
      <c r="T96" s="8" t="b">
        <v>1</v>
      </c>
      <c r="U96" s="8" t="b">
        <v>1</v>
      </c>
      <c r="V96" s="8" t="n">
        <v>0</v>
      </c>
      <c r="W96" s="28" t="n">
        <v>0</v>
      </c>
      <c r="X96" s="8" t="inlineStr">
        <is>
          <t>16CG1rUtZh3UL1rnM</t>
        </is>
      </c>
      <c r="Y96" s="28" t="n">
        <v>249</v>
      </c>
      <c r="Z96" s="8" t="inlineStr">
        <is>
          <t>active</t>
        </is>
      </c>
    </row>
    <row r="97">
      <c r="A97" s="12" t="inlineStr">
        <is>
          <t>d8a536db-871e-4331-b328-027d4b5c17a4</t>
        </is>
      </c>
      <c r="B97" s="12" t="inlineStr">
        <is>
          <t>Kismet Beauty Collection</t>
        </is>
      </c>
      <c r="C97" s="29" t="n">
        <v>46195</v>
      </c>
      <c r="D97" s="12" t="inlineStr">
        <is>
          <t>2026-06</t>
        </is>
      </c>
      <c r="E97" s="12" t="b">
        <v>1</v>
      </c>
      <c r="F97" s="12" t="b">
        <v>1</v>
      </c>
      <c r="G97" s="12" t="b">
        <v>1</v>
      </c>
      <c r="H97" s="12" t="b">
        <v>1</v>
      </c>
      <c r="I97" s="12" t="b">
        <v>1</v>
      </c>
      <c r="J97" s="12" t="b">
        <v>1</v>
      </c>
      <c r="K97" s="12" t="b">
        <v>1</v>
      </c>
      <c r="L97" s="12" t="b">
        <v>1</v>
      </c>
      <c r="M97" s="12" t="b">
        <v>1</v>
      </c>
      <c r="N97" s="12" t="b">
        <v>1</v>
      </c>
      <c r="O97" s="12" t="n">
        <v>98</v>
      </c>
      <c r="P97" s="12" t="n">
        <v>13</v>
      </c>
      <c r="Q97" s="12" t="n">
        <v>77</v>
      </c>
      <c r="R97" s="12" t="n"/>
      <c r="S97" s="29" t="n">
        <v>46237</v>
      </c>
      <c r="T97" s="12" t="b">
        <v>1</v>
      </c>
      <c r="U97" s="12" t="b">
        <v>1</v>
      </c>
      <c r="V97" s="12" t="n">
        <v>56</v>
      </c>
      <c r="W97" s="30" t="n">
        <v>3741.55</v>
      </c>
      <c r="X97" s="12" t="inlineStr">
        <is>
          <t>169zslVNIkWBg2ChA</t>
        </is>
      </c>
      <c r="Y97" s="30" t="n">
        <v>149</v>
      </c>
      <c r="Z97" s="12" t="inlineStr">
        <is>
          <t>active</t>
        </is>
      </c>
    </row>
    <row r="98">
      <c r="A98" s="8" t="inlineStr">
        <is>
          <t>601f25e3-f49e-433f-8d64-7e1f1f11b188</t>
        </is>
      </c>
      <c r="B98" s="8" t="inlineStr">
        <is>
          <t>Ksweetshaircompany® Medical Wigs &amp; Hair Restoration</t>
        </is>
      </c>
      <c r="C98" s="27" t="n">
        <v>46195</v>
      </c>
      <c r="D98" s="8" t="inlineStr">
        <is>
          <t>2026-06</t>
        </is>
      </c>
      <c r="E98" s="8" t="b">
        <v>1</v>
      </c>
      <c r="F98" s="8" t="b">
        <v>1</v>
      </c>
      <c r="G98" s="8" t="b">
        <v>1</v>
      </c>
      <c r="H98" s="8" t="b">
        <v>1</v>
      </c>
      <c r="I98" s="8" t="b">
        <v>1</v>
      </c>
      <c r="J98" s="8" t="b">
        <v>0</v>
      </c>
      <c r="K98" s="8" t="b">
        <v>1</v>
      </c>
      <c r="L98" s="8" t="b">
        <v>1</v>
      </c>
      <c r="M98" s="8" t="b">
        <v>1</v>
      </c>
      <c r="N98" s="8" t="b">
        <v>1</v>
      </c>
      <c r="O98" s="8" t="n">
        <v>0</v>
      </c>
      <c r="P98" s="8" t="n">
        <v>0</v>
      </c>
      <c r="Q98" s="8" t="n">
        <v>0</v>
      </c>
      <c r="R98" s="8" t="n"/>
      <c r="S98" s="27" t="n"/>
      <c r="T98" s="8" t="b">
        <v>0</v>
      </c>
      <c r="U98" s="8" t="b">
        <v>0</v>
      </c>
      <c r="V98" s="8" t="n">
        <v>0</v>
      </c>
      <c r="W98" s="28" t="n">
        <v>0</v>
      </c>
      <c r="X98" s="8" t="inlineStr">
        <is>
          <t>169sM2UwERmUE1Jta</t>
        </is>
      </c>
      <c r="Y98" s="28" t="n">
        <v>99</v>
      </c>
      <c r="Z98" s="8" t="inlineStr">
        <is>
          <t>active</t>
        </is>
      </c>
    </row>
    <row r="99">
      <c r="A99" s="12" t="inlineStr">
        <is>
          <t>94675ce6-a2ed-4680-b6be-05623a45e196</t>
        </is>
      </c>
      <c r="B99" s="12" t="inlineStr">
        <is>
          <t>Celebrityz Barbershop</t>
        </is>
      </c>
      <c r="C99" s="29" t="n">
        <v>46196</v>
      </c>
      <c r="D99" s="12" t="inlineStr">
        <is>
          <t>2026-06</t>
        </is>
      </c>
      <c r="E99" s="12" t="b">
        <v>1</v>
      </c>
      <c r="F99" s="12" t="b">
        <v>1</v>
      </c>
      <c r="G99" s="12" t="b">
        <v>1</v>
      </c>
      <c r="H99" s="12" t="b">
        <v>1</v>
      </c>
      <c r="I99" s="12" t="b">
        <v>1</v>
      </c>
      <c r="J99" s="12" t="b">
        <v>0</v>
      </c>
      <c r="K99" s="12" t="b">
        <v>1</v>
      </c>
      <c r="L99" s="12" t="b">
        <v>1</v>
      </c>
      <c r="M99" s="12" t="b">
        <v>1</v>
      </c>
      <c r="N99" s="12" t="b">
        <v>1</v>
      </c>
      <c r="O99" s="12" t="n">
        <v>39</v>
      </c>
      <c r="P99" s="12" t="n">
        <v>39</v>
      </c>
      <c r="Q99" s="12" t="n">
        <v>0</v>
      </c>
      <c r="R99" s="12" t="n"/>
      <c r="S99" s="29" t="n">
        <v>46237</v>
      </c>
      <c r="T99" s="12" t="b">
        <v>1</v>
      </c>
      <c r="U99" s="12" t="b">
        <v>1</v>
      </c>
      <c r="V99" s="12" t="n">
        <v>4</v>
      </c>
      <c r="W99" s="30" t="n">
        <v>230</v>
      </c>
      <c r="X99" s="12" t="inlineStr">
        <is>
          <t>cus_QZsLOmGGygvs4X</t>
        </is>
      </c>
      <c r="Y99" s="30" t="n">
        <v>774</v>
      </c>
      <c r="Z99" s="12" t="inlineStr">
        <is>
          <t>active</t>
        </is>
      </c>
    </row>
    <row r="100">
      <c r="A100" s="8" t="inlineStr">
        <is>
          <t>4fa91a08-d4af-4e73-a8aa-e69e8c12996b</t>
        </is>
      </c>
      <c r="B100" s="8" t="inlineStr">
        <is>
          <t>CELEBRITYZ BARBERSHOP</t>
        </is>
      </c>
      <c r="C100" s="27" t="n">
        <v>46196</v>
      </c>
      <c r="D100" s="8" t="inlineStr">
        <is>
          <t>2026-06</t>
        </is>
      </c>
      <c r="E100" s="8" t="b">
        <v>1</v>
      </c>
      <c r="F100" s="8" t="b">
        <v>1</v>
      </c>
      <c r="G100" s="8" t="b">
        <v>1</v>
      </c>
      <c r="H100" s="8" t="b">
        <v>1</v>
      </c>
      <c r="I100" s="8" t="b">
        <v>1</v>
      </c>
      <c r="J100" s="8" t="b">
        <v>0</v>
      </c>
      <c r="K100" s="8" t="b">
        <v>1</v>
      </c>
      <c r="L100" s="8" t="b">
        <v>1</v>
      </c>
      <c r="M100" s="8" t="b">
        <v>1</v>
      </c>
      <c r="N100" s="8" t="b">
        <v>1</v>
      </c>
      <c r="O100" s="8" t="n">
        <v>22</v>
      </c>
      <c r="P100" s="8" t="n">
        <v>21</v>
      </c>
      <c r="Q100" s="8" t="n">
        <v>1</v>
      </c>
      <c r="R100" s="8" t="n"/>
      <c r="S100" s="27" t="n">
        <v>46236</v>
      </c>
      <c r="T100" s="8" t="b">
        <v>1</v>
      </c>
      <c r="U100" s="8" t="b">
        <v>1</v>
      </c>
      <c r="V100" s="8" t="n">
        <v>2</v>
      </c>
      <c r="W100" s="28" t="n">
        <v>100</v>
      </c>
      <c r="X100" s="8" t="inlineStr">
        <is>
          <t>cus_QZsLOmGGygvs4X</t>
        </is>
      </c>
      <c r="Y100" s="28" t="n">
        <v>774</v>
      </c>
      <c r="Z100" s="8" t="inlineStr">
        <is>
          <t>active</t>
        </is>
      </c>
    </row>
    <row r="101">
      <c r="A101" s="12" t="inlineStr">
        <is>
          <t>e7b45fde-5084-4667-940f-908b9cceaa1d</t>
        </is>
      </c>
      <c r="B101" s="12" t="inlineStr">
        <is>
          <t>Celebrityz Barbershop</t>
        </is>
      </c>
      <c r="C101" s="29" t="n">
        <v>46196</v>
      </c>
      <c r="D101" s="12" t="inlineStr">
        <is>
          <t>2026-06</t>
        </is>
      </c>
      <c r="E101" s="12" t="b">
        <v>1</v>
      </c>
      <c r="F101" s="12" t="b">
        <v>1</v>
      </c>
      <c r="G101" s="12" t="b">
        <v>1</v>
      </c>
      <c r="H101" s="12" t="b">
        <v>1</v>
      </c>
      <c r="I101" s="12" t="b">
        <v>1</v>
      </c>
      <c r="J101" s="12" t="b">
        <v>0</v>
      </c>
      <c r="K101" s="12" t="b">
        <v>1</v>
      </c>
      <c r="L101" s="12" t="b">
        <v>1</v>
      </c>
      <c r="M101" s="12" t="b">
        <v>1</v>
      </c>
      <c r="N101" s="12" t="b">
        <v>1</v>
      </c>
      <c r="O101" s="12" t="n">
        <v>48</v>
      </c>
      <c r="P101" s="12" t="n">
        <v>48</v>
      </c>
      <c r="Q101" s="12" t="n">
        <v>0</v>
      </c>
      <c r="R101" s="12" t="n"/>
      <c r="S101" s="29" t="n">
        <v>46237</v>
      </c>
      <c r="T101" s="12" t="b">
        <v>1</v>
      </c>
      <c r="U101" s="12" t="b">
        <v>1</v>
      </c>
      <c r="V101" s="12" t="n">
        <v>2</v>
      </c>
      <c r="W101" s="30" t="n">
        <v>110</v>
      </c>
      <c r="X101" s="12" t="inlineStr">
        <is>
          <t>cus_QZsLOmGGygvs4X</t>
        </is>
      </c>
      <c r="Y101" s="30" t="n">
        <v>774</v>
      </c>
      <c r="Z101" s="12" t="inlineStr">
        <is>
          <t>active</t>
        </is>
      </c>
    </row>
    <row r="102">
      <c r="A102" s="8" t="inlineStr">
        <is>
          <t>379b51e2-4210-463f-88e8-af86c7322113</t>
        </is>
      </c>
      <c r="B102" s="8" t="inlineStr">
        <is>
          <t>RCs Waxing &amp; Threading Stone Mountain</t>
        </is>
      </c>
      <c r="C102" s="27" t="n">
        <v>46197</v>
      </c>
      <c r="D102" s="8" t="inlineStr">
        <is>
          <t>2026-06</t>
        </is>
      </c>
      <c r="E102" s="8" t="b">
        <v>1</v>
      </c>
      <c r="F102" s="8" t="b">
        <v>1</v>
      </c>
      <c r="G102" s="8" t="b">
        <v>1</v>
      </c>
      <c r="H102" s="8" t="b">
        <v>1</v>
      </c>
      <c r="I102" s="8" t="b">
        <v>1</v>
      </c>
      <c r="J102" s="8" t="b">
        <v>0</v>
      </c>
      <c r="K102" s="8" t="b">
        <v>1</v>
      </c>
      <c r="L102" s="8" t="b">
        <v>1</v>
      </c>
      <c r="M102" s="8" t="b">
        <v>1</v>
      </c>
      <c r="N102" s="8" t="b">
        <v>1</v>
      </c>
      <c r="O102" s="8" t="n">
        <v>11</v>
      </c>
      <c r="P102" s="8" t="n">
        <v>11</v>
      </c>
      <c r="Q102" s="8" t="n">
        <v>0</v>
      </c>
      <c r="R102" s="8" t="n"/>
      <c r="S102" s="27" t="n">
        <v>46233</v>
      </c>
      <c r="T102" s="8" t="b">
        <v>1</v>
      </c>
      <c r="U102" s="8" t="b">
        <v>1</v>
      </c>
      <c r="V102" s="8" t="n">
        <v>0</v>
      </c>
      <c r="W102" s="28" t="n">
        <v>0</v>
      </c>
      <c r="X102" s="8" t="inlineStr">
        <is>
          <t>16AflPVAZLsIpMXS4</t>
        </is>
      </c>
      <c r="Y102" s="28" t="n">
        <v>1250.07</v>
      </c>
      <c r="Z102" s="8" t="inlineStr">
        <is>
          <t>active</t>
        </is>
      </c>
    </row>
    <row r="103">
      <c r="A103" s="12" t="inlineStr">
        <is>
          <t>bb8acea2-a044-4f1a-b2c8-2220a1ed9ed0</t>
        </is>
      </c>
      <c r="B103" s="12" t="inlineStr">
        <is>
          <t>RCs Waxing &amp; Threading Decatur</t>
        </is>
      </c>
      <c r="C103" s="29" t="n">
        <v>46197</v>
      </c>
      <c r="D103" s="12" t="inlineStr">
        <is>
          <t>2026-06</t>
        </is>
      </c>
      <c r="E103" s="12" t="b">
        <v>1</v>
      </c>
      <c r="F103" s="12" t="b">
        <v>1</v>
      </c>
      <c r="G103" s="12" t="b">
        <v>1</v>
      </c>
      <c r="H103" s="12" t="b">
        <v>1</v>
      </c>
      <c r="I103" s="12" t="b">
        <v>1</v>
      </c>
      <c r="J103" s="12" t="b">
        <v>0</v>
      </c>
      <c r="K103" s="12" t="b">
        <v>1</v>
      </c>
      <c r="L103" s="12" t="b">
        <v>1</v>
      </c>
      <c r="M103" s="12" t="b">
        <v>1</v>
      </c>
      <c r="N103" s="12" t="b">
        <v>1</v>
      </c>
      <c r="O103" s="12" t="n">
        <v>18</v>
      </c>
      <c r="P103" s="12" t="n">
        <v>18</v>
      </c>
      <c r="Q103" s="12" t="n">
        <v>0</v>
      </c>
      <c r="R103" s="12" t="n"/>
      <c r="S103" s="29" t="n">
        <v>46234</v>
      </c>
      <c r="T103" s="12" t="b">
        <v>1</v>
      </c>
      <c r="U103" s="12" t="b">
        <v>1</v>
      </c>
      <c r="V103" s="12" t="n">
        <v>0</v>
      </c>
      <c r="W103" s="30" t="n">
        <v>0</v>
      </c>
      <c r="X103" s="12" t="inlineStr">
        <is>
          <t>16AflPVAZLsIpMXS4</t>
        </is>
      </c>
      <c r="Y103" s="30" t="n">
        <v>1250.07</v>
      </c>
      <c r="Z103" s="12" t="inlineStr">
        <is>
          <t>active</t>
        </is>
      </c>
    </row>
    <row r="104">
      <c r="A104" s="8" t="inlineStr">
        <is>
          <t>172b5e0c-e433-4955-8ea5-11472b6b6c41</t>
        </is>
      </c>
      <c r="B104" s="8" t="inlineStr">
        <is>
          <t>RCs Waxing &amp; Threading Stockbridge</t>
        </is>
      </c>
      <c r="C104" s="27" t="n">
        <v>46197</v>
      </c>
      <c r="D104" s="8" t="inlineStr">
        <is>
          <t>2026-06</t>
        </is>
      </c>
      <c r="E104" s="8" t="b">
        <v>1</v>
      </c>
      <c r="F104" s="8" t="b">
        <v>1</v>
      </c>
      <c r="G104" s="8" t="b">
        <v>1</v>
      </c>
      <c r="H104" s="8" t="b">
        <v>1</v>
      </c>
      <c r="I104" s="8" t="b">
        <v>1</v>
      </c>
      <c r="J104" s="8" t="b">
        <v>0</v>
      </c>
      <c r="K104" s="8" t="b">
        <v>1</v>
      </c>
      <c r="L104" s="8" t="b">
        <v>1</v>
      </c>
      <c r="M104" s="8" t="b">
        <v>1</v>
      </c>
      <c r="N104" s="8" t="b">
        <v>1</v>
      </c>
      <c r="O104" s="8" t="n">
        <v>25</v>
      </c>
      <c r="P104" s="8" t="n">
        <v>25</v>
      </c>
      <c r="Q104" s="8" t="n">
        <v>0</v>
      </c>
      <c r="R104" s="8" t="n"/>
      <c r="S104" s="27" t="n">
        <v>46237</v>
      </c>
      <c r="T104" s="8" t="b">
        <v>1</v>
      </c>
      <c r="U104" s="8" t="b">
        <v>1</v>
      </c>
      <c r="V104" s="8" t="n">
        <v>2</v>
      </c>
      <c r="W104" s="28" t="n">
        <v>85</v>
      </c>
      <c r="X104" s="8" t="inlineStr">
        <is>
          <t>16AflPVAZLsIpMXS4</t>
        </is>
      </c>
      <c r="Y104" s="28" t="n">
        <v>1250.07</v>
      </c>
      <c r="Z104" s="8" t="inlineStr">
        <is>
          <t>active</t>
        </is>
      </c>
    </row>
    <row r="105">
      <c r="A105" s="12" t="inlineStr">
        <is>
          <t>868ca0c5-9aab-4d8c-b6ac-2643bb9d3fd7</t>
        </is>
      </c>
      <c r="B105" s="12" t="inlineStr">
        <is>
          <t>RCs Waxing &amp; Threading Banks Crossing</t>
        </is>
      </c>
      <c r="C105" s="29" t="n">
        <v>46197</v>
      </c>
      <c r="D105" s="12" t="inlineStr">
        <is>
          <t>2026-06</t>
        </is>
      </c>
      <c r="E105" s="12" t="b">
        <v>1</v>
      </c>
      <c r="F105" s="12" t="b">
        <v>1</v>
      </c>
      <c r="G105" s="12" t="b">
        <v>1</v>
      </c>
      <c r="H105" s="12" t="b">
        <v>1</v>
      </c>
      <c r="I105" s="12" t="b">
        <v>1</v>
      </c>
      <c r="J105" s="12" t="b">
        <v>0</v>
      </c>
      <c r="K105" s="12" t="b">
        <v>1</v>
      </c>
      <c r="L105" s="12" t="b">
        <v>1</v>
      </c>
      <c r="M105" s="12" t="b">
        <v>1</v>
      </c>
      <c r="N105" s="12" t="b">
        <v>1</v>
      </c>
      <c r="O105" s="12" t="n">
        <v>63</v>
      </c>
      <c r="P105" s="12" t="n">
        <v>31</v>
      </c>
      <c r="Q105" s="12" t="n">
        <v>32</v>
      </c>
      <c r="R105" s="12" t="n"/>
      <c r="S105" s="29" t="n">
        <v>46236</v>
      </c>
      <c r="T105" s="12" t="b">
        <v>1</v>
      </c>
      <c r="U105" s="12" t="b">
        <v>1</v>
      </c>
      <c r="V105" s="12" t="n">
        <v>0</v>
      </c>
      <c r="W105" s="30" t="n">
        <v>0</v>
      </c>
      <c r="X105" s="12" t="inlineStr">
        <is>
          <t>16AflPVAZLsIpMXS4</t>
        </is>
      </c>
      <c r="Y105" s="30" t="n">
        <v>1250.07</v>
      </c>
      <c r="Z105" s="12" t="inlineStr">
        <is>
          <t>active</t>
        </is>
      </c>
    </row>
    <row r="106">
      <c r="A106" s="8" t="inlineStr">
        <is>
          <t>a31b16da-f365-4c30-af8f-4ca8bbaa9643</t>
        </is>
      </c>
      <c r="B106" s="8" t="inlineStr">
        <is>
          <t>RCs Waxing &amp; Threading Jonesboro</t>
        </is>
      </c>
      <c r="C106" s="27" t="n">
        <v>46197</v>
      </c>
      <c r="D106" s="8" t="inlineStr">
        <is>
          <t>2026-06</t>
        </is>
      </c>
      <c r="E106" s="8" t="b">
        <v>1</v>
      </c>
      <c r="F106" s="8" t="b">
        <v>1</v>
      </c>
      <c r="G106" s="8" t="b">
        <v>1</v>
      </c>
      <c r="H106" s="8" t="b">
        <v>1</v>
      </c>
      <c r="I106" s="8" t="b">
        <v>1</v>
      </c>
      <c r="J106" s="8" t="b">
        <v>0</v>
      </c>
      <c r="K106" s="8" t="b">
        <v>1</v>
      </c>
      <c r="L106" s="8" t="b">
        <v>1</v>
      </c>
      <c r="M106" s="8" t="b">
        <v>1</v>
      </c>
      <c r="N106" s="8" t="b">
        <v>1</v>
      </c>
      <c r="O106" s="8" t="n">
        <v>51</v>
      </c>
      <c r="P106" s="8" t="n">
        <v>36</v>
      </c>
      <c r="Q106" s="8" t="n">
        <v>15</v>
      </c>
      <c r="R106" s="8" t="n"/>
      <c r="S106" s="27" t="n">
        <v>46237</v>
      </c>
      <c r="T106" s="8" t="b">
        <v>1</v>
      </c>
      <c r="U106" s="8" t="b">
        <v>1</v>
      </c>
      <c r="V106" s="8" t="n">
        <v>0</v>
      </c>
      <c r="W106" s="28" t="n">
        <v>0</v>
      </c>
      <c r="X106" s="8" t="inlineStr">
        <is>
          <t>16AflPVAZLsIpMXS4</t>
        </is>
      </c>
      <c r="Y106" s="28" t="n">
        <v>1250.07</v>
      </c>
      <c r="Z106" s="8" t="inlineStr">
        <is>
          <t>active</t>
        </is>
      </c>
    </row>
    <row r="107">
      <c r="A107" s="12" t="inlineStr">
        <is>
          <t>34a52526-9b85-4245-a560-a6395028bbf1</t>
        </is>
      </c>
      <c r="B107" s="12" t="inlineStr">
        <is>
          <t>RCs Waxing &amp; Threading 120B Pavilion Pkwy</t>
        </is>
      </c>
      <c r="C107" s="29" t="n">
        <v>46197</v>
      </c>
      <c r="D107" s="12" t="inlineStr">
        <is>
          <t>2026-06</t>
        </is>
      </c>
      <c r="E107" s="12" t="b">
        <v>1</v>
      </c>
      <c r="F107" s="12" t="b">
        <v>1</v>
      </c>
      <c r="G107" s="12" t="b">
        <v>1</v>
      </c>
      <c r="H107" s="12" t="b">
        <v>1</v>
      </c>
      <c r="I107" s="12" t="b">
        <v>1</v>
      </c>
      <c r="J107" s="12" t="b">
        <v>0</v>
      </c>
      <c r="K107" s="12" t="b">
        <v>1</v>
      </c>
      <c r="L107" s="12" t="b">
        <v>1</v>
      </c>
      <c r="M107" s="12" t="b">
        <v>1</v>
      </c>
      <c r="N107" s="12" t="b">
        <v>1</v>
      </c>
      <c r="O107" s="12" t="n">
        <v>18</v>
      </c>
      <c r="P107" s="12" t="n">
        <v>8</v>
      </c>
      <c r="Q107" s="12" t="n">
        <v>10</v>
      </c>
      <c r="R107" s="12" t="n"/>
      <c r="S107" s="29" t="n">
        <v>46234</v>
      </c>
      <c r="T107" s="12" t="b">
        <v>1</v>
      </c>
      <c r="U107" s="12" t="b">
        <v>1</v>
      </c>
      <c r="V107" s="12" t="n">
        <v>0</v>
      </c>
      <c r="W107" s="30" t="n">
        <v>0</v>
      </c>
      <c r="X107" s="12" t="inlineStr">
        <is>
          <t>16AflPVAZLsIpMXS4</t>
        </is>
      </c>
      <c r="Y107" s="30" t="n">
        <v>1250.07</v>
      </c>
      <c r="Z107" s="12" t="inlineStr">
        <is>
          <t>active</t>
        </is>
      </c>
    </row>
    <row r="108">
      <c r="A108" s="8" t="inlineStr">
        <is>
          <t>7717ea66-49c3-46a8-8c83-d0fdf55c8b7a</t>
        </is>
      </c>
      <c r="B108" s="8" t="inlineStr">
        <is>
          <t>RC's Waxing &amp; Threading Campcreek</t>
        </is>
      </c>
      <c r="C108" s="27" t="n">
        <v>46197</v>
      </c>
      <c r="D108" s="8" t="inlineStr">
        <is>
          <t>2026-06</t>
        </is>
      </c>
      <c r="E108" s="8" t="b">
        <v>1</v>
      </c>
      <c r="F108" s="8" t="b">
        <v>1</v>
      </c>
      <c r="G108" s="8" t="b">
        <v>1</v>
      </c>
      <c r="H108" s="8" t="b">
        <v>1</v>
      </c>
      <c r="I108" s="8" t="b">
        <v>1</v>
      </c>
      <c r="J108" s="8" t="b">
        <v>0</v>
      </c>
      <c r="K108" s="8" t="b">
        <v>1</v>
      </c>
      <c r="L108" s="8" t="b">
        <v>1</v>
      </c>
      <c r="M108" s="8" t="b">
        <v>1</v>
      </c>
      <c r="N108" s="8" t="b">
        <v>1</v>
      </c>
      <c r="O108" s="8" t="n">
        <v>38</v>
      </c>
      <c r="P108" s="8" t="n">
        <v>30</v>
      </c>
      <c r="Q108" s="8" t="n">
        <v>8</v>
      </c>
      <c r="R108" s="8" t="n"/>
      <c r="S108" s="27" t="n">
        <v>46236</v>
      </c>
      <c r="T108" s="8" t="b">
        <v>1</v>
      </c>
      <c r="U108" s="8" t="b">
        <v>1</v>
      </c>
      <c r="V108" s="8" t="n">
        <v>0</v>
      </c>
      <c r="W108" s="28" t="n">
        <v>0</v>
      </c>
      <c r="X108" s="8" t="inlineStr">
        <is>
          <t>16AflPVAZLsIpMXS4</t>
        </is>
      </c>
      <c r="Y108" s="28" t="n">
        <v>1250.07</v>
      </c>
      <c r="Z108" s="8" t="inlineStr">
        <is>
          <t>active</t>
        </is>
      </c>
    </row>
    <row r="109">
      <c r="A109" s="12" t="inlineStr">
        <is>
          <t>7f64df98-652f-4c35-867a-7b48f3185180</t>
        </is>
      </c>
      <c r="B109" s="12" t="inlineStr">
        <is>
          <t>RC's Waxing &amp; Threading 139 Fayetteville pavilion</t>
        </is>
      </c>
      <c r="C109" s="29" t="n">
        <v>46197</v>
      </c>
      <c r="D109" s="12" t="inlineStr">
        <is>
          <t>2026-06</t>
        </is>
      </c>
      <c r="E109" s="12" t="b">
        <v>1</v>
      </c>
      <c r="F109" s="12" t="b">
        <v>1</v>
      </c>
      <c r="G109" s="12" t="b">
        <v>1</v>
      </c>
      <c r="H109" s="12" t="b">
        <v>1</v>
      </c>
      <c r="I109" s="12" t="b">
        <v>1</v>
      </c>
      <c r="J109" s="12" t="b">
        <v>0</v>
      </c>
      <c r="K109" s="12" t="b">
        <v>1</v>
      </c>
      <c r="L109" s="12" t="b">
        <v>1</v>
      </c>
      <c r="M109" s="12" t="b">
        <v>1</v>
      </c>
      <c r="N109" s="12" t="b">
        <v>1</v>
      </c>
      <c r="O109" s="12" t="n">
        <v>56</v>
      </c>
      <c r="P109" s="12" t="n">
        <v>51</v>
      </c>
      <c r="Q109" s="12" t="n">
        <v>5</v>
      </c>
      <c r="R109" s="12" t="n"/>
      <c r="S109" s="29" t="n">
        <v>46235</v>
      </c>
      <c r="T109" s="12" t="b">
        <v>1</v>
      </c>
      <c r="U109" s="12" t="b">
        <v>1</v>
      </c>
      <c r="V109" s="12" t="n">
        <v>0</v>
      </c>
      <c r="W109" s="30" t="n">
        <v>0</v>
      </c>
      <c r="X109" s="12" t="inlineStr">
        <is>
          <t>16AflPVAZLsIpMXS4</t>
        </is>
      </c>
      <c r="Y109" s="30" t="n">
        <v>1250.07</v>
      </c>
      <c r="Z109" s="12" t="inlineStr">
        <is>
          <t>active</t>
        </is>
      </c>
    </row>
    <row r="110">
      <c r="A110" s="8" t="inlineStr">
        <is>
          <t>9a9eaa12-86dc-445c-9195-a4208aa64c37</t>
        </is>
      </c>
      <c r="B110" s="8" t="inlineStr">
        <is>
          <t>Doro hair braiding</t>
        </is>
      </c>
      <c r="C110" s="27" t="n">
        <v>46198</v>
      </c>
      <c r="D110" s="8" t="inlineStr">
        <is>
          <t>2026-06</t>
        </is>
      </c>
      <c r="E110" s="8" t="b">
        <v>1</v>
      </c>
      <c r="F110" s="8" t="b">
        <v>1</v>
      </c>
      <c r="G110" s="8" t="b">
        <v>1</v>
      </c>
      <c r="H110" s="8" t="b">
        <v>1</v>
      </c>
      <c r="I110" s="8" t="b">
        <v>1</v>
      </c>
      <c r="J110" s="8" t="b">
        <v>0</v>
      </c>
      <c r="K110" s="8" t="b">
        <v>1</v>
      </c>
      <c r="L110" s="8" t="b">
        <v>1</v>
      </c>
      <c r="M110" s="8" t="b">
        <v>1</v>
      </c>
      <c r="N110" s="8" t="b">
        <v>1</v>
      </c>
      <c r="O110" s="8" t="n">
        <v>5</v>
      </c>
      <c r="P110" s="8" t="n">
        <v>5</v>
      </c>
      <c r="Q110" s="8" t="n">
        <v>0</v>
      </c>
      <c r="R110" s="8" t="n"/>
      <c r="S110" s="27" t="n">
        <v>46234</v>
      </c>
      <c r="T110" s="8" t="b">
        <v>1</v>
      </c>
      <c r="U110" s="8" t="b">
        <v>1</v>
      </c>
      <c r="V110" s="8" t="n">
        <v>0</v>
      </c>
      <c r="W110" s="28" t="n">
        <v>0</v>
      </c>
      <c r="X110" s="8" t="inlineStr">
        <is>
          <t>AzyfuoVNaXup12Hb1</t>
        </is>
      </c>
      <c r="Y110" s="28" t="n">
        <v>149</v>
      </c>
      <c r="Z110" s="8" t="inlineStr">
        <is>
          <t>active</t>
        </is>
      </c>
    </row>
    <row r="111">
      <c r="A111" s="12" t="inlineStr">
        <is>
          <t>6379236b-ff8d-4eea-8b20-8f83ced49223</t>
        </is>
      </c>
      <c r="B111" s="12" t="inlineStr">
        <is>
          <t>Egrace Braiding</t>
        </is>
      </c>
      <c r="C111" s="29" t="n">
        <v>46199</v>
      </c>
      <c r="D111" s="12" t="inlineStr">
        <is>
          <t>2026-06</t>
        </is>
      </c>
      <c r="E111" s="12" t="b">
        <v>1</v>
      </c>
      <c r="F111" s="12" t="b">
        <v>0</v>
      </c>
      <c r="G111" s="12" t="b">
        <v>0</v>
      </c>
      <c r="H111" s="12" t="b">
        <v>0</v>
      </c>
      <c r="I111" s="12" t="b">
        <v>0</v>
      </c>
      <c r="J111" s="12" t="b">
        <v>0</v>
      </c>
      <c r="K111" s="12" t="b">
        <v>0</v>
      </c>
      <c r="L111" s="12" t="b">
        <v>0</v>
      </c>
      <c r="M111" s="12" t="b">
        <v>0</v>
      </c>
      <c r="N111" s="12" t="b">
        <v>0</v>
      </c>
      <c r="O111" s="12" t="n">
        <v>0</v>
      </c>
      <c r="P111" s="12" t="n">
        <v>0</v>
      </c>
      <c r="Q111" s="12" t="n">
        <v>0</v>
      </c>
      <c r="R111" s="12" t="n"/>
      <c r="S111" s="29" t="n"/>
      <c r="T111" s="12" t="b">
        <v>0</v>
      </c>
      <c r="U111" s="12" t="b">
        <v>0</v>
      </c>
      <c r="V111" s="12" t="n">
        <v>0</v>
      </c>
      <c r="W111" s="30" t="n">
        <v>0</v>
      </c>
      <c r="X111" s="12" t="inlineStr">
        <is>
          <t>AziAynVKBoZKTZ9M</t>
        </is>
      </c>
      <c r="Y111" s="30" t="n"/>
      <c r="Z111" s="12" t="n"/>
    </row>
    <row r="112">
      <c r="A112" s="8" t="inlineStr">
        <is>
          <t>1d694dca-612f-449e-8bf7-8b0ba1355513</t>
        </is>
      </c>
      <c r="B112" s="8" t="inlineStr">
        <is>
          <t>Egrace Braiding</t>
        </is>
      </c>
      <c r="C112" s="27" t="n">
        <v>46199</v>
      </c>
      <c r="D112" s="8" t="inlineStr">
        <is>
          <t>2026-06</t>
        </is>
      </c>
      <c r="E112" s="8" t="b">
        <v>1</v>
      </c>
      <c r="F112" s="8" t="b">
        <v>1</v>
      </c>
      <c r="G112" s="8" t="b">
        <v>0</v>
      </c>
      <c r="H112" s="8" t="b">
        <v>0</v>
      </c>
      <c r="I112" s="8" t="b">
        <v>0</v>
      </c>
      <c r="J112" s="8" t="b">
        <v>0</v>
      </c>
      <c r="K112" s="8" t="b">
        <v>0</v>
      </c>
      <c r="L112" s="8" t="b">
        <v>0</v>
      </c>
      <c r="M112" s="8" t="b">
        <v>0</v>
      </c>
      <c r="N112" s="8" t="b">
        <v>0</v>
      </c>
      <c r="O112" s="8" t="n">
        <v>0</v>
      </c>
      <c r="P112" s="8" t="n">
        <v>0</v>
      </c>
      <c r="Q112" s="8" t="n">
        <v>0</v>
      </c>
      <c r="R112" s="8" t="n"/>
      <c r="S112" s="27" t="n"/>
      <c r="T112" s="8" t="b">
        <v>0</v>
      </c>
      <c r="U112" s="8" t="b">
        <v>0</v>
      </c>
      <c r="V112" s="8" t="n">
        <v>0</v>
      </c>
      <c r="W112" s="28" t="n">
        <v>0</v>
      </c>
      <c r="X112" s="8" t="n"/>
      <c r="Y112" s="28" t="n"/>
      <c r="Z112" s="8" t="n"/>
    </row>
    <row r="113">
      <c r="A113" s="12" t="inlineStr">
        <is>
          <t>984919b4-58db-480c-a973-dcc5d393bdf9</t>
        </is>
      </c>
      <c r="B113" s="12" t="inlineStr">
        <is>
          <t>Hair care by Dawn LLC</t>
        </is>
      </c>
      <c r="C113" s="29" t="n">
        <v>46202</v>
      </c>
      <c r="D113" s="12" t="inlineStr">
        <is>
          <t>2026-06</t>
        </is>
      </c>
      <c r="E113" s="12" t="b">
        <v>1</v>
      </c>
      <c r="F113" s="12" t="b">
        <v>1</v>
      </c>
      <c r="G113" s="12" t="b">
        <v>1</v>
      </c>
      <c r="H113" s="12" t="b">
        <v>1</v>
      </c>
      <c r="I113" s="12" t="b">
        <v>1</v>
      </c>
      <c r="J113" s="12" t="b">
        <v>0</v>
      </c>
      <c r="K113" s="12" t="b">
        <v>1</v>
      </c>
      <c r="L113" s="12" t="b">
        <v>1</v>
      </c>
      <c r="M113" s="12" t="b">
        <v>1</v>
      </c>
      <c r="N113" s="12" t="b">
        <v>1</v>
      </c>
      <c r="O113" s="12" t="n">
        <v>3</v>
      </c>
      <c r="P113" s="12" t="n">
        <v>3</v>
      </c>
      <c r="Q113" s="12" t="n">
        <v>0</v>
      </c>
      <c r="R113" s="12" t="n"/>
      <c r="S113" s="29" t="n">
        <v>46205</v>
      </c>
      <c r="T113" s="12" t="b">
        <v>1</v>
      </c>
      <c r="U113" s="12" t="b">
        <v>0</v>
      </c>
      <c r="V113" s="12" t="n">
        <v>1</v>
      </c>
      <c r="W113" s="30" t="n">
        <v>205</v>
      </c>
      <c r="X113" s="12" t="inlineStr">
        <is>
          <t>169uHaVNxvQ0y2apm</t>
        </is>
      </c>
      <c r="Y113" s="30" t="n"/>
      <c r="Z113" s="12" t="n"/>
    </row>
    <row r="114">
      <c r="A114" s="8" t="inlineStr">
        <is>
          <t>d1191256-b78e-4794-8b93-37327adcaa3d</t>
        </is>
      </c>
      <c r="B114" s="8" t="inlineStr">
        <is>
          <t>Love Me Naked Esthetic’s</t>
        </is>
      </c>
      <c r="C114" s="27" t="n">
        <v>46203</v>
      </c>
      <c r="D114" s="8" t="inlineStr">
        <is>
          <t>2026-06</t>
        </is>
      </c>
      <c r="E114" s="8" t="b">
        <v>1</v>
      </c>
      <c r="F114" s="8" t="b">
        <v>1</v>
      </c>
      <c r="G114" s="8" t="b">
        <v>1</v>
      </c>
      <c r="H114" s="8" t="b">
        <v>1</v>
      </c>
      <c r="I114" s="8" t="b">
        <v>1</v>
      </c>
      <c r="J114" s="8" t="b">
        <v>0</v>
      </c>
      <c r="K114" s="8" t="b">
        <v>1</v>
      </c>
      <c r="L114" s="8" t="b">
        <v>1</v>
      </c>
      <c r="M114" s="8" t="b">
        <v>1</v>
      </c>
      <c r="N114" s="8" t="b">
        <v>1</v>
      </c>
      <c r="O114" s="8" t="n">
        <v>0</v>
      </c>
      <c r="P114" s="8" t="n">
        <v>0</v>
      </c>
      <c r="Q114" s="8" t="n">
        <v>0</v>
      </c>
      <c r="R114" s="8" t="n"/>
      <c r="S114" s="27" t="n"/>
      <c r="T114" s="8" t="b">
        <v>0</v>
      </c>
      <c r="U114" s="8" t="b">
        <v>0</v>
      </c>
      <c r="V114" s="8" t="n">
        <v>0</v>
      </c>
      <c r="W114" s="28" t="n">
        <v>0</v>
      </c>
      <c r="X114" s="8" t="inlineStr">
        <is>
          <t>Azyx7uVO3mYUA5kVj</t>
        </is>
      </c>
      <c r="Y114" s="28" t="n"/>
      <c r="Z114" s="8" t="n"/>
    </row>
    <row r="115">
      <c r="A115" s="12" t="inlineStr">
        <is>
          <t>e182445e-fe43-45bb-bd0e-2d7565b2f7b5</t>
        </is>
      </c>
      <c r="B115" s="12" t="inlineStr">
        <is>
          <t>Headquarters Hair Care</t>
        </is>
      </c>
      <c r="C115" s="29" t="n">
        <v>46204</v>
      </c>
      <c r="D115" s="12" t="inlineStr">
        <is>
          <t>2026-07</t>
        </is>
      </c>
      <c r="E115" s="12" t="b">
        <v>1</v>
      </c>
      <c r="F115" s="12" t="b">
        <v>0</v>
      </c>
      <c r="G115" s="12" t="b">
        <v>0</v>
      </c>
      <c r="H115" s="12" t="b">
        <v>0</v>
      </c>
      <c r="I115" s="12" t="b">
        <v>0</v>
      </c>
      <c r="J115" s="12" t="b">
        <v>0</v>
      </c>
      <c r="K115" s="12" t="b">
        <v>0</v>
      </c>
      <c r="L115" s="12" t="b">
        <v>0</v>
      </c>
      <c r="M115" s="12" t="b">
        <v>0</v>
      </c>
      <c r="N115" s="12" t="b">
        <v>0</v>
      </c>
      <c r="O115" s="12" t="n">
        <v>149</v>
      </c>
      <c r="P115" s="12" t="n">
        <v>0</v>
      </c>
      <c r="Q115" s="12" t="n">
        <v>0</v>
      </c>
      <c r="R115" s="12" t="n"/>
      <c r="S115" s="29" t="n">
        <v>46235</v>
      </c>
      <c r="T115" s="12" t="b">
        <v>1</v>
      </c>
      <c r="U115" s="12" t="b">
        <v>1</v>
      </c>
      <c r="V115" s="12" t="n">
        <v>0</v>
      </c>
      <c r="W115" s="30" t="n">
        <v>0</v>
      </c>
      <c r="X115" s="12" t="inlineStr">
        <is>
          <t>169kJGV5se1sPXQth</t>
        </is>
      </c>
      <c r="Y115" s="30" t="n">
        <v>249</v>
      </c>
      <c r="Z115" s="12" t="inlineStr">
        <is>
          <t>non_renewing</t>
        </is>
      </c>
    </row>
    <row r="116">
      <c r="A116" s="8" t="inlineStr">
        <is>
          <t>fce7a080-3457-4427-aeb5-806caf7f8cf8</t>
        </is>
      </c>
      <c r="B116" s="8" t="inlineStr">
        <is>
          <t>Houston Mobile Massage - Swedish massage, Deep Tissue Massage, Gua Shua in Houston, TX</t>
        </is>
      </c>
      <c r="C116" s="27" t="n">
        <v>46204</v>
      </c>
      <c r="D116" s="8" t="inlineStr">
        <is>
          <t>2026-07</t>
        </is>
      </c>
      <c r="E116" s="8" t="b">
        <v>1</v>
      </c>
      <c r="F116" s="8" t="b">
        <v>1</v>
      </c>
      <c r="G116" s="8" t="b">
        <v>1</v>
      </c>
      <c r="H116" s="8" t="b">
        <v>1</v>
      </c>
      <c r="I116" s="8" t="b">
        <v>1</v>
      </c>
      <c r="J116" s="8" t="b">
        <v>1</v>
      </c>
      <c r="K116" s="8" t="b">
        <v>0</v>
      </c>
      <c r="L116" s="8" t="b">
        <v>1</v>
      </c>
      <c r="M116" s="8" t="b">
        <v>1</v>
      </c>
      <c r="N116" s="8" t="b">
        <v>1</v>
      </c>
      <c r="O116" s="8" t="n">
        <v>4</v>
      </c>
      <c r="P116" s="8" t="n">
        <v>1</v>
      </c>
      <c r="Q116" s="8" t="n">
        <v>3</v>
      </c>
      <c r="R116" s="8" t="n"/>
      <c r="S116" s="27" t="n">
        <v>46227</v>
      </c>
      <c r="T116" s="8" t="b">
        <v>1</v>
      </c>
      <c r="U116" s="8" t="b">
        <v>1</v>
      </c>
      <c r="V116" s="8" t="n">
        <v>0</v>
      </c>
      <c r="W116" s="28" t="n">
        <v>0</v>
      </c>
      <c r="X116" s="8" t="inlineStr">
        <is>
          <t>Azqc6hUsTFeHr3Rrw</t>
        </is>
      </c>
      <c r="Y116" s="28" t="n">
        <v>199</v>
      </c>
      <c r="Z116" s="8" t="inlineStr">
        <is>
          <t>active</t>
        </is>
      </c>
    </row>
    <row r="117">
      <c r="A117" s="12" t="inlineStr">
        <is>
          <t>9abe5fc8-2604-43f5-83bf-b6b89261eb58</t>
        </is>
      </c>
      <c r="B117" s="12" t="inlineStr">
        <is>
          <t>Salon Millennium</t>
        </is>
      </c>
      <c r="C117" s="29" t="n">
        <v>46204</v>
      </c>
      <c r="D117" s="12" t="inlineStr">
        <is>
          <t>2026-07</t>
        </is>
      </c>
      <c r="E117" s="12" t="b">
        <v>1</v>
      </c>
      <c r="F117" s="12" t="b">
        <v>1</v>
      </c>
      <c r="G117" s="12" t="b">
        <v>1</v>
      </c>
      <c r="H117" s="12" t="b">
        <v>1</v>
      </c>
      <c r="I117" s="12" t="b">
        <v>1</v>
      </c>
      <c r="J117" s="12" t="b">
        <v>0</v>
      </c>
      <c r="K117" s="12" t="b">
        <v>0</v>
      </c>
      <c r="L117" s="12" t="b">
        <v>0</v>
      </c>
      <c r="M117" s="12" t="b">
        <v>0</v>
      </c>
      <c r="N117" s="12" t="b">
        <v>0</v>
      </c>
      <c r="O117" s="12" t="n">
        <v>0</v>
      </c>
      <c r="P117" s="12" t="n">
        <v>0</v>
      </c>
      <c r="Q117" s="12" t="n">
        <v>0</v>
      </c>
      <c r="R117" s="12" t="n"/>
      <c r="S117" s="29" t="n"/>
      <c r="T117" s="12" t="b">
        <v>0</v>
      </c>
      <c r="U117" s="12" t="b">
        <v>0</v>
      </c>
      <c r="V117" s="12" t="n">
        <v>0</v>
      </c>
      <c r="W117" s="30" t="n">
        <v>0</v>
      </c>
      <c r="X117" s="12" t="inlineStr">
        <is>
          <t>16AbeFVIJG3y79Qk</t>
        </is>
      </c>
      <c r="Y117" s="30" t="n">
        <v>250</v>
      </c>
      <c r="Z117" s="12" t="inlineStr">
        <is>
          <t>active</t>
        </is>
      </c>
    </row>
    <row r="118">
      <c r="A118" s="8" t="inlineStr">
        <is>
          <t>e1342d56-c179-451e-a87a-6bc128b46d8d</t>
        </is>
      </c>
      <c r="B118" s="8" t="inlineStr">
        <is>
          <t>Cut &amp; Blow Hair Salon</t>
        </is>
      </c>
      <c r="C118" s="27" t="n">
        <v>46204</v>
      </c>
      <c r="D118" s="8" t="inlineStr">
        <is>
          <t>2026-07</t>
        </is>
      </c>
      <c r="E118" s="8" t="b">
        <v>1</v>
      </c>
      <c r="F118" s="8" t="b">
        <v>1</v>
      </c>
      <c r="G118" s="8" t="b">
        <v>1</v>
      </c>
      <c r="H118" s="8" t="b">
        <v>1</v>
      </c>
      <c r="I118" s="8" t="b">
        <v>1</v>
      </c>
      <c r="J118" s="8" t="b">
        <v>1</v>
      </c>
      <c r="K118" s="8" t="b">
        <v>1</v>
      </c>
      <c r="L118" s="8" t="b">
        <v>1</v>
      </c>
      <c r="M118" s="8" t="b">
        <v>1</v>
      </c>
      <c r="N118" s="8" t="b">
        <v>1</v>
      </c>
      <c r="O118" s="8" t="n">
        <v>4</v>
      </c>
      <c r="P118" s="8" t="n">
        <v>3</v>
      </c>
      <c r="Q118" s="8" t="n">
        <v>1</v>
      </c>
      <c r="R118" s="8" t="n"/>
      <c r="S118" s="27" t="n">
        <v>46228</v>
      </c>
      <c r="T118" s="8" t="b">
        <v>1</v>
      </c>
      <c r="U118" s="8" t="b">
        <v>1</v>
      </c>
      <c r="V118" s="8" t="n">
        <v>4</v>
      </c>
      <c r="W118" s="28" t="n">
        <v>309.47</v>
      </c>
      <c r="X118" s="8" t="inlineStr">
        <is>
          <t>AzyqBZVO8uOIU9nzO</t>
        </is>
      </c>
      <c r="Y118" s="28" t="n">
        <v>149</v>
      </c>
      <c r="Z118" s="8" t="inlineStr">
        <is>
          <t>active</t>
        </is>
      </c>
    </row>
    <row r="119">
      <c r="A119" s="12" t="inlineStr">
        <is>
          <t>206e4a5d-a15b-4630-8450-72ef77a5c87c</t>
        </is>
      </c>
      <c r="B119" s="12" t="inlineStr">
        <is>
          <t>thrash &amp; sassy salon</t>
        </is>
      </c>
      <c r="C119" s="29" t="n">
        <v>46204</v>
      </c>
      <c r="D119" s="12" t="inlineStr">
        <is>
          <t>2026-07</t>
        </is>
      </c>
      <c r="E119" s="12" t="b">
        <v>1</v>
      </c>
      <c r="F119" s="12" t="b">
        <v>1</v>
      </c>
      <c r="G119" s="12" t="b">
        <v>1</v>
      </c>
      <c r="H119" s="12" t="b">
        <v>1</v>
      </c>
      <c r="I119" s="12" t="b">
        <v>1</v>
      </c>
      <c r="J119" s="12" t="b">
        <v>1</v>
      </c>
      <c r="K119" s="12" t="b">
        <v>0</v>
      </c>
      <c r="L119" s="12" t="b">
        <v>1</v>
      </c>
      <c r="M119" s="12" t="b">
        <v>1</v>
      </c>
      <c r="N119" s="12" t="b">
        <v>1</v>
      </c>
      <c r="O119" s="12" t="n">
        <v>98</v>
      </c>
      <c r="P119" s="12" t="n">
        <v>84</v>
      </c>
      <c r="Q119" s="12" t="n">
        <v>14</v>
      </c>
      <c r="R119" s="12" t="n"/>
      <c r="S119" s="29" t="n">
        <v>46237</v>
      </c>
      <c r="T119" s="12" t="b">
        <v>1</v>
      </c>
      <c r="U119" s="12" t="b">
        <v>1</v>
      </c>
      <c r="V119" s="12" t="n">
        <v>2</v>
      </c>
      <c r="W119" s="30" t="n">
        <v>110</v>
      </c>
      <c r="X119" s="12" t="inlineStr">
        <is>
          <t>AzZqwoUjmVyb54U3f</t>
        </is>
      </c>
      <c r="Y119" s="30" t="n">
        <v>299</v>
      </c>
      <c r="Z119" s="12" t="inlineStr">
        <is>
          <t>active</t>
        </is>
      </c>
    </row>
    <row r="120">
      <c r="A120" s="8" t="inlineStr">
        <is>
          <t>2334bc22-6524-47ac-827c-d15d4414d7f6</t>
        </is>
      </c>
      <c r="B120" s="8" t="inlineStr">
        <is>
          <t>Glenn Emery Skincare</t>
        </is>
      </c>
      <c r="C120" s="27" t="n">
        <v>46205</v>
      </c>
      <c r="D120" s="8" t="inlineStr">
        <is>
          <t>2026-07</t>
        </is>
      </c>
      <c r="E120" s="8" t="b">
        <v>1</v>
      </c>
      <c r="F120" s="8" t="b">
        <v>1</v>
      </c>
      <c r="G120" s="8" t="b">
        <v>1</v>
      </c>
      <c r="H120" s="8" t="b">
        <v>1</v>
      </c>
      <c r="I120" s="8" t="b">
        <v>1</v>
      </c>
      <c r="J120" s="8" t="b">
        <v>1</v>
      </c>
      <c r="K120" s="8" t="b">
        <v>0</v>
      </c>
      <c r="L120" s="8" t="b">
        <v>1</v>
      </c>
      <c r="M120" s="8" t="b">
        <v>1</v>
      </c>
      <c r="N120" s="8" t="b">
        <v>1</v>
      </c>
      <c r="O120" s="8" t="n">
        <v>3</v>
      </c>
      <c r="P120" s="8" t="n">
        <v>1</v>
      </c>
      <c r="Q120" s="8" t="n">
        <v>2</v>
      </c>
      <c r="R120" s="8" t="inlineStr">
        <is>
          <t>ACUITY</t>
        </is>
      </c>
      <c r="S120" s="27" t="n">
        <v>46232</v>
      </c>
      <c r="T120" s="8" t="b">
        <v>1</v>
      </c>
      <c r="U120" s="8" t="b">
        <v>1</v>
      </c>
      <c r="V120" s="8" t="n">
        <v>1</v>
      </c>
      <c r="W120" s="28" t="n">
        <v>12.5</v>
      </c>
      <c r="X120" s="8" t="inlineStr">
        <is>
          <t>AzyqGlUrDqpEe2dvB</t>
        </is>
      </c>
      <c r="Y120" s="28" t="n">
        <v>149</v>
      </c>
      <c r="Z120" s="8" t="inlineStr">
        <is>
          <t>active</t>
        </is>
      </c>
    </row>
    <row r="121">
      <c r="A121" s="12" t="inlineStr">
        <is>
          <t>b7efab51-5434-48d0-8021-ff810b980341</t>
        </is>
      </c>
      <c r="B121" s="17" t="inlineStr">
        <is>
          <t>(name not on file)</t>
        </is>
      </c>
      <c r="C121" s="29" t="n">
        <v>46206</v>
      </c>
      <c r="D121" s="12" t="inlineStr">
        <is>
          <t>2026-07</t>
        </is>
      </c>
      <c r="E121" s="12" t="b">
        <v>1</v>
      </c>
      <c r="F121" s="12" t="b">
        <v>1</v>
      </c>
      <c r="G121" s="12" t="b">
        <v>1</v>
      </c>
      <c r="H121" s="12" t="b">
        <v>1</v>
      </c>
      <c r="I121" s="12" t="b">
        <v>1</v>
      </c>
      <c r="J121" s="12" t="b">
        <v>0</v>
      </c>
      <c r="K121" s="12" t="b">
        <v>1</v>
      </c>
      <c r="L121" s="12" t="b">
        <v>1</v>
      </c>
      <c r="M121" s="12" t="b">
        <v>1</v>
      </c>
      <c r="N121" s="12" t="b">
        <v>1</v>
      </c>
      <c r="O121" s="12" t="n">
        <v>1</v>
      </c>
      <c r="P121" s="12" t="n">
        <v>1</v>
      </c>
      <c r="Q121" s="12" t="n">
        <v>0</v>
      </c>
      <c r="R121" s="12" t="n"/>
      <c r="S121" s="29" t="n">
        <v>46210</v>
      </c>
      <c r="T121" s="12" t="b">
        <v>1</v>
      </c>
      <c r="U121" s="12" t="b">
        <v>1</v>
      </c>
      <c r="V121" s="12" t="n">
        <v>0</v>
      </c>
      <c r="W121" s="30" t="n">
        <v>0</v>
      </c>
      <c r="X121" s="12" t="n"/>
      <c r="Y121" s="30" t="n"/>
      <c r="Z121" s="12" t="n"/>
    </row>
    <row r="122">
      <c r="A122" s="8" t="inlineStr">
        <is>
          <t>add9a824-e2f8-452e-b25d-80c2efc21168</t>
        </is>
      </c>
      <c r="B122" s="8" t="inlineStr">
        <is>
          <t>Flawless image Hair salon</t>
        </is>
      </c>
      <c r="C122" s="27" t="n">
        <v>46209</v>
      </c>
      <c r="D122" s="8" t="inlineStr">
        <is>
          <t>2026-07</t>
        </is>
      </c>
      <c r="E122" s="8" t="b">
        <v>1</v>
      </c>
      <c r="F122" s="8" t="b">
        <v>1</v>
      </c>
      <c r="G122" s="8" t="b">
        <v>1</v>
      </c>
      <c r="H122" s="8" t="b">
        <v>1</v>
      </c>
      <c r="I122" s="8" t="b">
        <v>1</v>
      </c>
      <c r="J122" s="8" t="b">
        <v>0</v>
      </c>
      <c r="K122" s="8" t="b">
        <v>1</v>
      </c>
      <c r="L122" s="8" t="b">
        <v>1</v>
      </c>
      <c r="M122" s="8" t="b">
        <v>1</v>
      </c>
      <c r="N122" s="8" t="b">
        <v>1</v>
      </c>
      <c r="O122" s="8" t="n">
        <v>1</v>
      </c>
      <c r="P122" s="8" t="n">
        <v>1</v>
      </c>
      <c r="Q122" s="8" t="n">
        <v>0</v>
      </c>
      <c r="R122" s="8" t="n"/>
      <c r="S122" s="27" t="n">
        <v>46223</v>
      </c>
      <c r="T122" s="8" t="b">
        <v>1</v>
      </c>
      <c r="U122" s="8" t="b">
        <v>1</v>
      </c>
      <c r="V122" s="8" t="n">
        <v>0</v>
      </c>
      <c r="W122" s="28" t="n">
        <v>0</v>
      </c>
      <c r="X122" s="8" t="inlineStr">
        <is>
          <t>AzZlYmV2YsinDkTk</t>
        </is>
      </c>
      <c r="Y122" s="28" t="n">
        <v>199</v>
      </c>
      <c r="Z122" s="8" t="inlineStr">
        <is>
          <t>active</t>
        </is>
      </c>
    </row>
    <row r="123">
      <c r="A123" s="12" t="inlineStr">
        <is>
          <t>98548bdf-e43c-41da-8020-a0f22ba4dab4</t>
        </is>
      </c>
      <c r="B123" s="12" t="inlineStr">
        <is>
          <t>HairCUSTOMIZED, LLC</t>
        </is>
      </c>
      <c r="C123" s="29" t="n">
        <v>46209</v>
      </c>
      <c r="D123" s="12" t="inlineStr">
        <is>
          <t>2026-07</t>
        </is>
      </c>
      <c r="E123" s="12" t="b">
        <v>1</v>
      </c>
      <c r="F123" s="12" t="b">
        <v>1</v>
      </c>
      <c r="G123" s="12" t="b">
        <v>1</v>
      </c>
      <c r="H123" s="12" t="b">
        <v>1</v>
      </c>
      <c r="I123" s="12" t="b">
        <v>1</v>
      </c>
      <c r="J123" s="12" t="b">
        <v>1</v>
      </c>
      <c r="K123" s="12" t="b">
        <v>1</v>
      </c>
      <c r="L123" s="12" t="b">
        <v>1</v>
      </c>
      <c r="M123" s="12" t="b">
        <v>1</v>
      </c>
      <c r="N123" s="12" t="b">
        <v>1</v>
      </c>
      <c r="O123" s="12" t="n">
        <v>4</v>
      </c>
      <c r="P123" s="12" t="n">
        <v>4</v>
      </c>
      <c r="Q123" s="12" t="n">
        <v>0</v>
      </c>
      <c r="R123" s="12" t="inlineStr">
        <is>
          <t>ACUITY</t>
        </is>
      </c>
      <c r="S123" s="29" t="n">
        <v>46226</v>
      </c>
      <c r="T123" s="12" t="b">
        <v>1</v>
      </c>
      <c r="U123" s="12" t="b">
        <v>1</v>
      </c>
      <c r="V123" s="12" t="n">
        <v>0</v>
      </c>
      <c r="W123" s="30" t="n">
        <v>0</v>
      </c>
      <c r="X123" s="12" t="inlineStr">
        <is>
          <t>16CUezVOcuGnFDBPg</t>
        </is>
      </c>
      <c r="Y123" s="30" t="n">
        <v>248</v>
      </c>
      <c r="Z123" s="12" t="inlineStr">
        <is>
          <t>active</t>
        </is>
      </c>
    </row>
    <row r="124">
      <c r="A124" s="8" t="inlineStr">
        <is>
          <t>f6693dd7-6c89-4b80-8d6f-d7c24b0b2517</t>
        </is>
      </c>
      <c r="B124" s="8" t="inlineStr">
        <is>
          <t>Diana Antes Studio</t>
        </is>
      </c>
      <c r="C124" s="27" t="n">
        <v>46209</v>
      </c>
      <c r="D124" s="8" t="inlineStr">
        <is>
          <t>2026-07</t>
        </is>
      </c>
      <c r="E124" s="8" t="b">
        <v>1</v>
      </c>
      <c r="F124" s="8" t="b">
        <v>1</v>
      </c>
      <c r="G124" s="8" t="b">
        <v>1</v>
      </c>
      <c r="H124" s="8" t="b">
        <v>1</v>
      </c>
      <c r="I124" s="8" t="b">
        <v>1</v>
      </c>
      <c r="J124" s="8" t="b">
        <v>0</v>
      </c>
      <c r="K124" s="8" t="b">
        <v>0</v>
      </c>
      <c r="L124" s="8" t="b">
        <v>0</v>
      </c>
      <c r="M124" s="8" t="b">
        <v>0</v>
      </c>
      <c r="N124" s="8" t="b">
        <v>0</v>
      </c>
      <c r="O124" s="8" t="n">
        <v>0</v>
      </c>
      <c r="P124" s="8" t="n">
        <v>0</v>
      </c>
      <c r="Q124" s="8" t="n">
        <v>0</v>
      </c>
      <c r="R124" s="8" t="n"/>
      <c r="S124" s="27" t="n"/>
      <c r="T124" s="8" t="b">
        <v>0</v>
      </c>
      <c r="U124" s="8" t="b">
        <v>0</v>
      </c>
      <c r="V124" s="8" t="n">
        <v>0</v>
      </c>
      <c r="W124" s="28" t="n">
        <v>0</v>
      </c>
      <c r="X124" s="8" t="inlineStr">
        <is>
          <t>16AgJKV0yxWi9BPe</t>
        </is>
      </c>
      <c r="Y124" s="28" t="n">
        <v>299</v>
      </c>
      <c r="Z124" s="8" t="inlineStr">
        <is>
          <t>active</t>
        </is>
      </c>
    </row>
    <row r="125">
      <c r="A125" s="12" t="inlineStr">
        <is>
          <t>80048d97-b23a-4aa5-be0f-10577ecc69ce</t>
        </is>
      </c>
      <c r="B125" s="12" t="inlineStr">
        <is>
          <t>African Hair Braiding by Fama</t>
        </is>
      </c>
      <c r="C125" s="29" t="n">
        <v>46209</v>
      </c>
      <c r="D125" s="12" t="inlineStr">
        <is>
          <t>2026-07</t>
        </is>
      </c>
      <c r="E125" s="12" t="b">
        <v>1</v>
      </c>
      <c r="F125" s="12" t="b">
        <v>1</v>
      </c>
      <c r="G125" s="12" t="b">
        <v>1</v>
      </c>
      <c r="H125" s="12" t="b">
        <v>1</v>
      </c>
      <c r="I125" s="12" t="b">
        <v>1</v>
      </c>
      <c r="J125" s="12" t="b">
        <v>1</v>
      </c>
      <c r="K125" s="12" t="b">
        <v>1</v>
      </c>
      <c r="L125" s="12" t="b">
        <v>1</v>
      </c>
      <c r="M125" s="12" t="b">
        <v>1</v>
      </c>
      <c r="N125" s="12" t="b">
        <v>1</v>
      </c>
      <c r="O125" s="12" t="n">
        <v>4</v>
      </c>
      <c r="P125" s="12" t="n">
        <v>4</v>
      </c>
      <c r="Q125" s="12" t="n">
        <v>0</v>
      </c>
      <c r="R125" s="12" t="n"/>
      <c r="S125" s="29" t="n">
        <v>46232</v>
      </c>
      <c r="T125" s="12" t="b">
        <v>1</v>
      </c>
      <c r="U125" s="12" t="b">
        <v>1</v>
      </c>
      <c r="V125" s="12" t="n">
        <v>4</v>
      </c>
      <c r="W125" s="30" t="n">
        <v>207.24</v>
      </c>
      <c r="X125" s="12" t="inlineStr">
        <is>
          <t>AzZL7WVOfxWbuhjd</t>
        </is>
      </c>
      <c r="Y125" s="30" t="n">
        <v>300</v>
      </c>
      <c r="Z125" s="12" t="inlineStr">
        <is>
          <t>active</t>
        </is>
      </c>
    </row>
    <row r="126">
      <c r="A126" s="8" t="inlineStr">
        <is>
          <t>c94bb0ea-3e54-4f58-8d25-ec0bb61c50c5</t>
        </is>
      </c>
      <c r="B126" s="8" t="inlineStr">
        <is>
          <t>Forever Balanced Massage</t>
        </is>
      </c>
      <c r="C126" s="27" t="n">
        <v>46210</v>
      </c>
      <c r="D126" s="8" t="inlineStr">
        <is>
          <t>2026-07</t>
        </is>
      </c>
      <c r="E126" s="8" t="b">
        <v>1</v>
      </c>
      <c r="F126" s="8" t="b">
        <v>1</v>
      </c>
      <c r="G126" s="8" t="b">
        <v>1</v>
      </c>
      <c r="H126" s="8" t="b">
        <v>1</v>
      </c>
      <c r="I126" s="8" t="b">
        <v>1</v>
      </c>
      <c r="J126" s="8" t="b">
        <v>0</v>
      </c>
      <c r="K126" s="8" t="b">
        <v>1</v>
      </c>
      <c r="L126" s="8" t="b">
        <v>1</v>
      </c>
      <c r="M126" s="8" t="b">
        <v>1</v>
      </c>
      <c r="N126" s="8" t="b">
        <v>1</v>
      </c>
      <c r="O126" s="8" t="n">
        <v>14</v>
      </c>
      <c r="P126" s="8" t="n">
        <v>7</v>
      </c>
      <c r="Q126" s="8" t="n">
        <v>7</v>
      </c>
      <c r="R126" s="8" t="inlineStr">
        <is>
          <t>GODADDY</t>
        </is>
      </c>
      <c r="S126" s="27" t="n">
        <v>46237</v>
      </c>
      <c r="T126" s="8" t="b">
        <v>1</v>
      </c>
      <c r="U126" s="8" t="b">
        <v>1</v>
      </c>
      <c r="V126" s="8" t="n">
        <v>0</v>
      </c>
      <c r="W126" s="28" t="n">
        <v>0</v>
      </c>
      <c r="X126" s="8" t="inlineStr">
        <is>
          <t>cus_RO61BZeoFpGZad</t>
        </is>
      </c>
      <c r="Y126" s="28" t="n">
        <v>99</v>
      </c>
      <c r="Z126" s="8" t="inlineStr">
        <is>
          <t>active</t>
        </is>
      </c>
    </row>
    <row r="127">
      <c r="A127" s="12" t="inlineStr">
        <is>
          <t>49fb77a4-35bb-4c45-abae-2e21f6ae02b1</t>
        </is>
      </c>
      <c r="B127" s="12" t="inlineStr">
        <is>
          <t>Royal African Braiding Studio</t>
        </is>
      </c>
      <c r="C127" s="29" t="n">
        <v>46210</v>
      </c>
      <c r="D127" s="12" t="inlineStr">
        <is>
          <t>2026-07</t>
        </is>
      </c>
      <c r="E127" s="12" t="b">
        <v>1</v>
      </c>
      <c r="F127" s="12" t="b">
        <v>1</v>
      </c>
      <c r="G127" s="12" t="b">
        <v>1</v>
      </c>
      <c r="H127" s="12" t="b">
        <v>1</v>
      </c>
      <c r="I127" s="12" t="b">
        <v>1</v>
      </c>
      <c r="J127" s="12" t="b">
        <v>1</v>
      </c>
      <c r="K127" s="12" t="b">
        <v>1</v>
      </c>
      <c r="L127" s="12" t="b">
        <v>1</v>
      </c>
      <c r="M127" s="12" t="b">
        <v>1</v>
      </c>
      <c r="N127" s="12" t="b">
        <v>1</v>
      </c>
      <c r="O127" s="12" t="n">
        <v>6</v>
      </c>
      <c r="P127" s="12" t="n">
        <v>6</v>
      </c>
      <c r="Q127" s="12" t="n">
        <v>0</v>
      </c>
      <c r="R127" s="12" t="n"/>
      <c r="S127" s="29" t="n">
        <v>46233</v>
      </c>
      <c r="T127" s="12" t="b">
        <v>1</v>
      </c>
      <c r="U127" s="12" t="b">
        <v>1</v>
      </c>
      <c r="V127" s="12" t="n">
        <v>1</v>
      </c>
      <c r="W127" s="30" t="n">
        <v>41.51</v>
      </c>
      <c r="X127" s="12" t="inlineStr">
        <is>
          <t>169lR4VOhcdGP1kaJ</t>
        </is>
      </c>
      <c r="Y127" s="30" t="n">
        <v>149</v>
      </c>
      <c r="Z127" s="12" t="inlineStr">
        <is>
          <t>active</t>
        </is>
      </c>
    </row>
    <row r="128">
      <c r="A128" s="8" t="inlineStr">
        <is>
          <t>677275ce-163b-40de-af76-90ac5b66b3c1</t>
        </is>
      </c>
      <c r="B128" s="8" t="inlineStr">
        <is>
          <t>Judy Hair Salon</t>
        </is>
      </c>
      <c r="C128" s="27" t="n">
        <v>46210</v>
      </c>
      <c r="D128" s="8" t="inlineStr">
        <is>
          <t>2026-07</t>
        </is>
      </c>
      <c r="E128" s="8" t="b">
        <v>1</v>
      </c>
      <c r="F128" s="8" t="b">
        <v>1</v>
      </c>
      <c r="G128" s="8" t="b">
        <v>1</v>
      </c>
      <c r="H128" s="8" t="b">
        <v>1</v>
      </c>
      <c r="I128" s="8" t="b">
        <v>1</v>
      </c>
      <c r="J128" s="8" t="b">
        <v>0</v>
      </c>
      <c r="K128" s="8" t="b">
        <v>1</v>
      </c>
      <c r="L128" s="8" t="b">
        <v>1</v>
      </c>
      <c r="M128" s="8" t="b">
        <v>1</v>
      </c>
      <c r="N128" s="8" t="b">
        <v>1</v>
      </c>
      <c r="O128" s="8" t="n">
        <v>0</v>
      </c>
      <c r="P128" s="8" t="n">
        <v>0</v>
      </c>
      <c r="Q128" s="8" t="n">
        <v>0</v>
      </c>
      <c r="R128" s="8" t="n"/>
      <c r="S128" s="27" t="n"/>
      <c r="T128" s="8" t="b">
        <v>0</v>
      </c>
      <c r="U128" s="8" t="b">
        <v>0</v>
      </c>
      <c r="V128" s="8" t="n">
        <v>0</v>
      </c>
      <c r="W128" s="28" t="n">
        <v>0</v>
      </c>
      <c r="X128" s="8" t="inlineStr">
        <is>
          <t>16BizYUvHCbmf28aC</t>
        </is>
      </c>
      <c r="Y128" s="28" t="n">
        <v>199</v>
      </c>
      <c r="Z128" s="8" t="inlineStr">
        <is>
          <t>active</t>
        </is>
      </c>
    </row>
    <row r="129">
      <c r="A129" s="12" t="inlineStr">
        <is>
          <t>1695e3b5-77e9-43c7-9052-b044964e1bc6</t>
        </is>
      </c>
      <c r="B129" s="12" t="inlineStr">
        <is>
          <t>Essence Esthetics: Skin · Lashes · Brows</t>
        </is>
      </c>
      <c r="C129" s="29" t="n">
        <v>46210</v>
      </c>
      <c r="D129" s="12" t="inlineStr">
        <is>
          <t>2026-07</t>
        </is>
      </c>
      <c r="E129" s="12" t="b">
        <v>1</v>
      </c>
      <c r="F129" s="12" t="b">
        <v>1</v>
      </c>
      <c r="G129" s="12" t="b">
        <v>1</v>
      </c>
      <c r="H129" s="12" t="b">
        <v>1</v>
      </c>
      <c r="I129" s="12" t="b">
        <v>1</v>
      </c>
      <c r="J129" s="12" t="b">
        <v>1</v>
      </c>
      <c r="K129" s="12" t="b">
        <v>0</v>
      </c>
      <c r="L129" s="12" t="b">
        <v>1</v>
      </c>
      <c r="M129" s="12" t="b">
        <v>1</v>
      </c>
      <c r="N129" s="12" t="b">
        <v>1</v>
      </c>
      <c r="O129" s="12" t="n">
        <v>23</v>
      </c>
      <c r="P129" s="12" t="n">
        <v>8</v>
      </c>
      <c r="Q129" s="12" t="n">
        <v>14</v>
      </c>
      <c r="R129" s="12" t="inlineStr">
        <is>
          <t>SQUARE</t>
        </is>
      </c>
      <c r="S129" s="29" t="n">
        <v>46237</v>
      </c>
      <c r="T129" s="12" t="b">
        <v>1</v>
      </c>
      <c r="U129" s="12" t="b">
        <v>1</v>
      </c>
      <c r="V129" s="12" t="n">
        <v>11</v>
      </c>
      <c r="W129" s="30" t="n">
        <v>1061.25</v>
      </c>
      <c r="X129" s="12" t="inlineStr">
        <is>
          <t>cus_PAvTgQiWVowr5E</t>
        </is>
      </c>
      <c r="Y129" s="30" t="n">
        <v>100</v>
      </c>
      <c r="Z129" s="12" t="inlineStr">
        <is>
          <t>active</t>
        </is>
      </c>
    </row>
    <row r="130">
      <c r="A130" s="8" t="inlineStr">
        <is>
          <t>400fdad0-7774-449a-80c5-bed11152b16c</t>
        </is>
      </c>
      <c r="B130" s="8" t="inlineStr">
        <is>
          <t>Just Because Hair Therapy Salon</t>
        </is>
      </c>
      <c r="C130" s="27" t="n">
        <v>46210</v>
      </c>
      <c r="D130" s="8" t="inlineStr">
        <is>
          <t>2026-07</t>
        </is>
      </c>
      <c r="E130" s="8" t="b">
        <v>1</v>
      </c>
      <c r="F130" s="8" t="b">
        <v>1</v>
      </c>
      <c r="G130" s="8" t="b">
        <v>1</v>
      </c>
      <c r="H130" s="8" t="b">
        <v>1</v>
      </c>
      <c r="I130" s="8" t="b">
        <v>1</v>
      </c>
      <c r="J130" s="8" t="b">
        <v>1</v>
      </c>
      <c r="K130" s="8" t="b">
        <v>1</v>
      </c>
      <c r="L130" s="8" t="b">
        <v>1</v>
      </c>
      <c r="M130" s="8" t="b">
        <v>1</v>
      </c>
      <c r="N130" s="8" t="b">
        <v>1</v>
      </c>
      <c r="O130" s="8" t="n">
        <v>15</v>
      </c>
      <c r="P130" s="8" t="n">
        <v>6</v>
      </c>
      <c r="Q130" s="8" t="n">
        <v>9</v>
      </c>
      <c r="R130" s="8" t="inlineStr">
        <is>
          <t>GLOSSGENIUS</t>
        </is>
      </c>
      <c r="S130" s="27" t="n">
        <v>46234</v>
      </c>
      <c r="T130" s="8" t="b">
        <v>1</v>
      </c>
      <c r="U130" s="8" t="b">
        <v>1</v>
      </c>
      <c r="V130" s="8" t="n">
        <v>5</v>
      </c>
      <c r="W130" s="28" t="n">
        <v>768.92</v>
      </c>
      <c r="X130" s="8" t="inlineStr">
        <is>
          <t>AzqGSdUztdchX9pVw</t>
        </is>
      </c>
      <c r="Y130" s="28" t="n">
        <v>249</v>
      </c>
      <c r="Z130" s="8" t="inlineStr">
        <is>
          <t>active</t>
        </is>
      </c>
    </row>
    <row r="131">
      <c r="A131" s="12" t="inlineStr">
        <is>
          <t>a261efd2-553e-464e-bd76-8abf31b517b1</t>
        </is>
      </c>
      <c r="B131" s="12" t="inlineStr">
        <is>
          <t>Tiffany Pretty &amp; Co.</t>
        </is>
      </c>
      <c r="C131" s="29" t="n">
        <v>46210</v>
      </c>
      <c r="D131" s="12" t="inlineStr">
        <is>
          <t>2026-07</t>
        </is>
      </c>
      <c r="E131" s="12" t="b">
        <v>1</v>
      </c>
      <c r="F131" s="12" t="b">
        <v>1</v>
      </c>
      <c r="G131" s="12" t="b">
        <v>1</v>
      </c>
      <c r="H131" s="12" t="b">
        <v>1</v>
      </c>
      <c r="I131" s="12" t="b">
        <v>1</v>
      </c>
      <c r="J131" s="12" t="b">
        <v>1</v>
      </c>
      <c r="K131" s="12" t="b">
        <v>1</v>
      </c>
      <c r="L131" s="12" t="b">
        <v>1</v>
      </c>
      <c r="M131" s="12" t="b">
        <v>1</v>
      </c>
      <c r="N131" s="12" t="b">
        <v>1</v>
      </c>
      <c r="O131" s="12" t="n">
        <v>78</v>
      </c>
      <c r="P131" s="12" t="n">
        <v>44</v>
      </c>
      <c r="Q131" s="12" t="n">
        <v>34</v>
      </c>
      <c r="R131" s="12" t="inlineStr">
        <is>
          <t>VAGARO</t>
        </is>
      </c>
      <c r="S131" s="29" t="n">
        <v>46237</v>
      </c>
      <c r="T131" s="12" t="b">
        <v>1</v>
      </c>
      <c r="U131" s="12" t="b">
        <v>1</v>
      </c>
      <c r="V131" s="12" t="n">
        <v>38</v>
      </c>
      <c r="W131" s="30" t="n">
        <v>5533.4</v>
      </c>
      <c r="X131" s="12" t="inlineStr">
        <is>
          <t>AzZlEZVOjELZs2ZnJ</t>
        </is>
      </c>
      <c r="Y131" s="30" t="n">
        <v>248</v>
      </c>
      <c r="Z131" s="12" t="inlineStr">
        <is>
          <t>active</t>
        </is>
      </c>
    </row>
    <row r="132">
      <c r="A132" s="8" t="inlineStr">
        <is>
          <t>fa47d1bd-f08e-47e4-a07d-9c16f2f3a2df</t>
        </is>
      </c>
      <c r="B132" s="8" t="inlineStr">
        <is>
          <t>African Hair Braiding by Fama</t>
        </is>
      </c>
      <c r="C132" s="27" t="n">
        <v>46210</v>
      </c>
      <c r="D132" s="8" t="inlineStr">
        <is>
          <t>2026-07</t>
        </is>
      </c>
      <c r="E132" s="8" t="b">
        <v>1</v>
      </c>
      <c r="F132" s="8" t="b">
        <v>1</v>
      </c>
      <c r="G132" s="8" t="b">
        <v>1</v>
      </c>
      <c r="H132" s="8" t="b">
        <v>1</v>
      </c>
      <c r="I132" s="8" t="b">
        <v>1</v>
      </c>
      <c r="J132" s="8" t="b">
        <v>1</v>
      </c>
      <c r="K132" s="8" t="b">
        <v>1</v>
      </c>
      <c r="L132" s="8" t="b">
        <v>1</v>
      </c>
      <c r="M132" s="8" t="b">
        <v>1</v>
      </c>
      <c r="N132" s="8" t="b">
        <v>1</v>
      </c>
      <c r="O132" s="8" t="n">
        <v>8</v>
      </c>
      <c r="P132" s="8" t="n">
        <v>8</v>
      </c>
      <c r="Q132" s="8" t="n">
        <v>0</v>
      </c>
      <c r="R132" s="8" t="n"/>
      <c r="S132" s="27" t="n">
        <v>46236</v>
      </c>
      <c r="T132" s="8" t="b">
        <v>1</v>
      </c>
      <c r="U132" s="8" t="b">
        <v>1</v>
      </c>
      <c r="V132" s="8" t="n">
        <v>6</v>
      </c>
      <c r="W132" s="28" t="n">
        <v>287.68</v>
      </c>
      <c r="X132" s="8" t="inlineStr">
        <is>
          <t>AzZL7WVOfxWbuhjd</t>
        </is>
      </c>
      <c r="Y132" s="28" t="n">
        <v>300</v>
      </c>
      <c r="Z132" s="8" t="inlineStr">
        <is>
          <t>active</t>
        </is>
      </c>
    </row>
    <row r="133">
      <c r="A133" s="12" t="inlineStr">
        <is>
          <t>2d29763c-8be4-4fbe-907e-d8a8649a7f84</t>
        </is>
      </c>
      <c r="B133" s="12" t="inlineStr">
        <is>
          <t>African hair braiding by fama</t>
        </is>
      </c>
      <c r="C133" s="29" t="n">
        <v>46210</v>
      </c>
      <c r="D133" s="12" t="inlineStr">
        <is>
          <t>2026-07</t>
        </is>
      </c>
      <c r="E133" s="12" t="b">
        <v>1</v>
      </c>
      <c r="F133" s="12" t="b">
        <v>1</v>
      </c>
      <c r="G133" s="12" t="b">
        <v>1</v>
      </c>
      <c r="H133" s="12" t="b">
        <v>1</v>
      </c>
      <c r="I133" s="12" t="b">
        <v>1</v>
      </c>
      <c r="J133" s="12" t="b">
        <v>1</v>
      </c>
      <c r="K133" s="12" t="b">
        <v>1</v>
      </c>
      <c r="L133" s="12" t="b">
        <v>1</v>
      </c>
      <c r="M133" s="12" t="b">
        <v>1</v>
      </c>
      <c r="N133" s="12" t="b">
        <v>1</v>
      </c>
      <c r="O133" s="12" t="n">
        <v>1</v>
      </c>
      <c r="P133" s="12" t="n">
        <v>1</v>
      </c>
      <c r="Q133" s="12" t="n">
        <v>0</v>
      </c>
      <c r="R133" s="12" t="n"/>
      <c r="S133" s="29" t="n">
        <v>46231</v>
      </c>
      <c r="T133" s="12" t="b">
        <v>1</v>
      </c>
      <c r="U133" s="12" t="b">
        <v>1</v>
      </c>
      <c r="V133" s="12" t="n">
        <v>1</v>
      </c>
      <c r="W133" s="30" t="n">
        <v>51.81</v>
      </c>
      <c r="X133" s="12" t="inlineStr">
        <is>
          <t>AzZL7WVOfxWbuhjd</t>
        </is>
      </c>
      <c r="Y133" s="30" t="n">
        <v>300</v>
      </c>
      <c r="Z133" s="12" t="inlineStr">
        <is>
          <t>active</t>
        </is>
      </c>
    </row>
    <row r="134">
      <c r="A134" s="8" t="inlineStr">
        <is>
          <t>d9274a48-fc93-434f-99bf-bea1b75638e1</t>
        </is>
      </c>
      <c r="B134" s="8" t="inlineStr">
        <is>
          <t>Skin Radiance</t>
        </is>
      </c>
      <c r="C134" s="27" t="n">
        <v>46211</v>
      </c>
      <c r="D134" s="8" t="inlineStr">
        <is>
          <t>2026-07</t>
        </is>
      </c>
      <c r="E134" s="8" t="b">
        <v>1</v>
      </c>
      <c r="F134" s="8" t="b">
        <v>1</v>
      </c>
      <c r="G134" s="8" t="b">
        <v>1</v>
      </c>
      <c r="H134" s="8" t="b">
        <v>1</v>
      </c>
      <c r="I134" s="8" t="b">
        <v>1</v>
      </c>
      <c r="J134" s="8" t="b">
        <v>1</v>
      </c>
      <c r="K134" s="8" t="b">
        <v>0</v>
      </c>
      <c r="L134" s="8" t="b">
        <v>1</v>
      </c>
      <c r="M134" s="8" t="b">
        <v>1</v>
      </c>
      <c r="N134" s="8" t="b">
        <v>1</v>
      </c>
      <c r="O134" s="8" t="n">
        <v>6</v>
      </c>
      <c r="P134" s="8" t="n">
        <v>6</v>
      </c>
      <c r="Q134" s="8" t="n">
        <v>0</v>
      </c>
      <c r="R134" s="8" t="inlineStr">
        <is>
          <t>ACUITY</t>
        </is>
      </c>
      <c r="S134" s="27" t="n">
        <v>46229</v>
      </c>
      <c r="T134" s="8" t="b">
        <v>1</v>
      </c>
      <c r="U134" s="8" t="b">
        <v>1</v>
      </c>
      <c r="V134" s="8" t="n">
        <v>7</v>
      </c>
      <c r="W134" s="28" t="n">
        <v>621.5</v>
      </c>
      <c r="X134" s="8" t="inlineStr">
        <is>
          <t>16BkZzUtbi2Mo3TJx</t>
        </is>
      </c>
      <c r="Y134" s="28" t="n">
        <v>199</v>
      </c>
      <c r="Z134" s="8" t="inlineStr">
        <is>
          <t>active</t>
        </is>
      </c>
    </row>
    <row r="135">
      <c r="A135" s="12" t="inlineStr">
        <is>
          <t>391479c3-df3c-4632-8669-0e8865d6f221</t>
        </is>
      </c>
      <c r="B135" s="12" t="inlineStr">
        <is>
          <t>Exquisite Beauty Hair Replacement Center</t>
        </is>
      </c>
      <c r="C135" s="29" t="n">
        <v>46211</v>
      </c>
      <c r="D135" s="12" t="inlineStr">
        <is>
          <t>2026-07</t>
        </is>
      </c>
      <c r="E135" s="12" t="b">
        <v>1</v>
      </c>
      <c r="F135" s="12" t="b">
        <v>1</v>
      </c>
      <c r="G135" s="12" t="b">
        <v>0</v>
      </c>
      <c r="H135" s="12" t="b">
        <v>0</v>
      </c>
      <c r="I135" s="12" t="b">
        <v>0</v>
      </c>
      <c r="J135" s="12" t="b">
        <v>0</v>
      </c>
      <c r="K135" s="12" t="b">
        <v>0</v>
      </c>
      <c r="L135" s="12" t="b">
        <v>0</v>
      </c>
      <c r="M135" s="12" t="b">
        <v>0</v>
      </c>
      <c r="N135" s="12" t="b">
        <v>0</v>
      </c>
      <c r="O135" s="12" t="n">
        <v>0</v>
      </c>
      <c r="P135" s="12" t="n">
        <v>0</v>
      </c>
      <c r="Q135" s="12" t="n">
        <v>0</v>
      </c>
      <c r="R135" s="12" t="n"/>
      <c r="S135" s="29" t="n"/>
      <c r="T135" s="12" t="b">
        <v>0</v>
      </c>
      <c r="U135" s="12" t="b">
        <v>0</v>
      </c>
      <c r="V135" s="12" t="n">
        <v>0</v>
      </c>
      <c r="W135" s="30" t="n">
        <v>0</v>
      </c>
      <c r="X135" s="12" t="inlineStr">
        <is>
          <t>cus_RKjeEUkTjpFN91</t>
        </is>
      </c>
      <c r="Y135" s="30" t="n">
        <v>150</v>
      </c>
      <c r="Z135" s="12" t="inlineStr">
        <is>
          <t>active</t>
        </is>
      </c>
    </row>
    <row r="136">
      <c r="A136" s="8" t="inlineStr">
        <is>
          <t>22ce5f0c-68ba-4b0b-a651-690075c4d116</t>
        </is>
      </c>
      <c r="B136" s="8" t="inlineStr">
        <is>
          <t>Essenz Of India</t>
        </is>
      </c>
      <c r="C136" s="27" t="n">
        <v>46211</v>
      </c>
      <c r="D136" s="8" t="inlineStr">
        <is>
          <t>2026-07</t>
        </is>
      </c>
      <c r="E136" s="8" t="b">
        <v>1</v>
      </c>
      <c r="F136" s="8" t="b">
        <v>1</v>
      </c>
      <c r="G136" s="8" t="b">
        <v>1</v>
      </c>
      <c r="H136" s="8" t="b">
        <v>1</v>
      </c>
      <c r="I136" s="8" t="b">
        <v>1</v>
      </c>
      <c r="J136" s="8" t="b">
        <v>0</v>
      </c>
      <c r="K136" s="8" t="b">
        <v>1</v>
      </c>
      <c r="L136" s="8" t="b">
        <v>1</v>
      </c>
      <c r="M136" s="8" t="b">
        <v>1</v>
      </c>
      <c r="N136" s="8" t="b">
        <v>1</v>
      </c>
      <c r="O136" s="8" t="n">
        <v>13</v>
      </c>
      <c r="P136" s="8" t="n">
        <v>11</v>
      </c>
      <c r="Q136" s="8" t="n">
        <v>2</v>
      </c>
      <c r="R136" s="8" t="n"/>
      <c r="S136" s="27" t="n">
        <v>46236</v>
      </c>
      <c r="T136" s="8" t="b">
        <v>1</v>
      </c>
      <c r="U136" s="8" t="b">
        <v>1</v>
      </c>
      <c r="V136" s="8" t="n">
        <v>2</v>
      </c>
      <c r="W136" s="28" t="n">
        <v>95</v>
      </c>
      <c r="X136" s="8" t="inlineStr">
        <is>
          <t>Azyd1CUmc9lUV4Ymn</t>
        </is>
      </c>
      <c r="Y136" s="28" t="n">
        <v>399</v>
      </c>
      <c r="Z136" s="8" t="inlineStr">
        <is>
          <t>active</t>
        </is>
      </c>
    </row>
    <row r="137">
      <c r="A137" s="12" t="inlineStr">
        <is>
          <t>ce187d17-57fb-4a4b-8a2c-f6f6dc602ae1</t>
        </is>
      </c>
      <c r="B137" s="12" t="inlineStr">
        <is>
          <t>SandraGuz Frizz Specialist Dominican Mobile Salon</t>
        </is>
      </c>
      <c r="C137" s="29" t="n">
        <v>46212</v>
      </c>
      <c r="D137" s="12" t="inlineStr">
        <is>
          <t>2026-07</t>
        </is>
      </c>
      <c r="E137" s="12" t="b">
        <v>1</v>
      </c>
      <c r="F137" s="12" t="b">
        <v>1</v>
      </c>
      <c r="G137" s="12" t="b">
        <v>1</v>
      </c>
      <c r="H137" s="12" t="b">
        <v>1</v>
      </c>
      <c r="I137" s="12" t="b">
        <v>1</v>
      </c>
      <c r="J137" s="12" t="b">
        <v>1</v>
      </c>
      <c r="K137" s="12" t="b">
        <v>0</v>
      </c>
      <c r="L137" s="12" t="b">
        <v>1</v>
      </c>
      <c r="M137" s="12" t="b">
        <v>1</v>
      </c>
      <c r="N137" s="12" t="b">
        <v>1</v>
      </c>
      <c r="O137" s="12" t="n">
        <v>23</v>
      </c>
      <c r="P137" s="12" t="n">
        <v>0</v>
      </c>
      <c r="Q137" s="12" t="n">
        <v>9</v>
      </c>
      <c r="R137" s="12" t="n"/>
      <c r="S137" s="29" t="n">
        <v>46220</v>
      </c>
      <c r="T137" s="12" t="b">
        <v>1</v>
      </c>
      <c r="U137" s="12" t="b">
        <v>1</v>
      </c>
      <c r="V137" s="12" t="n">
        <v>1</v>
      </c>
      <c r="W137" s="30" t="n">
        <v>85</v>
      </c>
      <c r="X137" s="12" t="inlineStr">
        <is>
          <t>Azz2RoUv15Lll3PzG</t>
        </is>
      </c>
      <c r="Y137" s="30" t="n">
        <v>199</v>
      </c>
      <c r="Z137" s="12" t="inlineStr">
        <is>
          <t>active</t>
        </is>
      </c>
    </row>
    <row r="138">
      <c r="A138" s="8" t="inlineStr">
        <is>
          <t>699c9595-9e54-496b-a099-fce5a77b36f4</t>
        </is>
      </c>
      <c r="B138" s="8" t="inlineStr">
        <is>
          <t>Laser Skin &amp; Wellness Center</t>
        </is>
      </c>
      <c r="C138" s="27" t="n">
        <v>46212</v>
      </c>
      <c r="D138" s="8" t="inlineStr">
        <is>
          <t>2026-07</t>
        </is>
      </c>
      <c r="E138" s="8" t="b">
        <v>1</v>
      </c>
      <c r="F138" s="8" t="b">
        <v>0</v>
      </c>
      <c r="G138" s="8" t="b">
        <v>0</v>
      </c>
      <c r="H138" s="8" t="b">
        <v>0</v>
      </c>
      <c r="I138" s="8" t="b">
        <v>0</v>
      </c>
      <c r="J138" s="8" t="b">
        <v>0</v>
      </c>
      <c r="K138" s="8" t="b">
        <v>0</v>
      </c>
      <c r="L138" s="8" t="b">
        <v>0</v>
      </c>
      <c r="M138" s="8" t="b">
        <v>0</v>
      </c>
      <c r="N138" s="8" t="b">
        <v>0</v>
      </c>
      <c r="O138" s="8" t="n">
        <v>0</v>
      </c>
      <c r="P138" s="8" t="n">
        <v>0</v>
      </c>
      <c r="Q138" s="8" t="n">
        <v>0</v>
      </c>
      <c r="R138" s="8" t="n"/>
      <c r="S138" s="27" t="n"/>
      <c r="T138" s="8" t="b">
        <v>0</v>
      </c>
      <c r="U138" s="8" t="b">
        <v>0</v>
      </c>
      <c r="V138" s="8" t="n">
        <v>0</v>
      </c>
      <c r="W138" s="28" t="n">
        <v>0</v>
      </c>
      <c r="X138" s="8" t="inlineStr">
        <is>
          <t>AzZYy7V8mfD613q7</t>
        </is>
      </c>
      <c r="Y138" s="28" t="n">
        <v>250</v>
      </c>
      <c r="Z138" s="8" t="inlineStr">
        <is>
          <t>active</t>
        </is>
      </c>
    </row>
    <row r="139">
      <c r="A139" s="12" t="inlineStr">
        <is>
          <t>adb6e989-1ad7-4802-8f38-66de6d5194ed</t>
        </is>
      </c>
      <c r="B139" s="12" t="inlineStr">
        <is>
          <t>Bhumi’s Salon | Waxing, Threading, Facial</t>
        </is>
      </c>
      <c r="C139" s="29" t="n">
        <v>46212</v>
      </c>
      <c r="D139" s="12" t="inlineStr">
        <is>
          <t>2026-07</t>
        </is>
      </c>
      <c r="E139" s="12" t="b">
        <v>1</v>
      </c>
      <c r="F139" s="12" t="b">
        <v>1</v>
      </c>
      <c r="G139" s="12" t="b">
        <v>1</v>
      </c>
      <c r="H139" s="12" t="b">
        <v>1</v>
      </c>
      <c r="I139" s="12" t="b">
        <v>1</v>
      </c>
      <c r="J139" s="12" t="b">
        <v>1</v>
      </c>
      <c r="K139" s="12" t="b">
        <v>0</v>
      </c>
      <c r="L139" s="12" t="b">
        <v>1</v>
      </c>
      <c r="M139" s="12" t="b">
        <v>1</v>
      </c>
      <c r="N139" s="12" t="b">
        <v>1</v>
      </c>
      <c r="O139" s="12" t="n">
        <v>7</v>
      </c>
      <c r="P139" s="12" t="n">
        <v>0</v>
      </c>
      <c r="Q139" s="12" t="n">
        <v>7</v>
      </c>
      <c r="R139" s="12" t="n"/>
      <c r="S139" s="29" t="n">
        <v>46235</v>
      </c>
      <c r="T139" s="12" t="b">
        <v>1</v>
      </c>
      <c r="U139" s="12" t="b">
        <v>1</v>
      </c>
      <c r="V139" s="12" t="n">
        <v>2</v>
      </c>
      <c r="W139" s="30" t="n">
        <v>125</v>
      </c>
      <c r="X139" s="12" t="inlineStr">
        <is>
          <t>AzqKC6UjtTdUy7rrQ</t>
        </is>
      </c>
      <c r="Y139" s="30" t="n">
        <v>179</v>
      </c>
      <c r="Z139" s="12" t="inlineStr">
        <is>
          <t>active</t>
        </is>
      </c>
    </row>
    <row r="140">
      <c r="A140" s="8" t="inlineStr">
        <is>
          <t>ac644144-c426-4500-bdf7-fa56bb2bf5dc</t>
        </is>
      </c>
      <c r="B140" s="8" t="inlineStr">
        <is>
          <t>Goscalp Scalp Micropigmentation Hair Loss &amp; Laser Tattoo Removal Center</t>
        </is>
      </c>
      <c r="C140" s="27" t="n">
        <v>46212</v>
      </c>
      <c r="D140" s="8" t="inlineStr">
        <is>
          <t>2026-07</t>
        </is>
      </c>
      <c r="E140" s="8" t="b">
        <v>1</v>
      </c>
      <c r="F140" s="8" t="b">
        <v>1</v>
      </c>
      <c r="G140" s="8" t="b">
        <v>1</v>
      </c>
      <c r="H140" s="8" t="b">
        <v>1</v>
      </c>
      <c r="I140" s="8" t="b">
        <v>1</v>
      </c>
      <c r="J140" s="8" t="b">
        <v>1</v>
      </c>
      <c r="K140" s="8" t="b">
        <v>0</v>
      </c>
      <c r="L140" s="8" t="b">
        <v>1</v>
      </c>
      <c r="M140" s="8" t="b">
        <v>1</v>
      </c>
      <c r="N140" s="8" t="b">
        <v>1</v>
      </c>
      <c r="O140" s="8" t="n">
        <v>0</v>
      </c>
      <c r="P140" s="8" t="n">
        <v>0</v>
      </c>
      <c r="Q140" s="8" t="n">
        <v>0</v>
      </c>
      <c r="R140" s="8" t="n"/>
      <c r="S140" s="27" t="n"/>
      <c r="T140" s="8" t="b">
        <v>0</v>
      </c>
      <c r="U140" s="8" t="b">
        <v>0</v>
      </c>
      <c r="V140" s="8" t="n">
        <v>0</v>
      </c>
      <c r="W140" s="28" t="n">
        <v>0</v>
      </c>
      <c r="X140" s="8" t="inlineStr">
        <is>
          <t>cus_QCfiuv2me3nMBk</t>
        </is>
      </c>
      <c r="Y140" s="28" t="n">
        <v>250</v>
      </c>
      <c r="Z140" s="8" t="inlineStr">
        <is>
          <t>cancelled</t>
        </is>
      </c>
    </row>
    <row r="141">
      <c r="A141" s="12" t="inlineStr">
        <is>
          <t>58041f3a-6a0a-43d7-87bb-4bd89285a513</t>
        </is>
      </c>
      <c r="B141" s="12" t="inlineStr">
        <is>
          <t>All About Beauty at Westchase</t>
        </is>
      </c>
      <c r="C141" s="29" t="n">
        <v>46213</v>
      </c>
      <c r="D141" s="12" t="inlineStr">
        <is>
          <t>2026-07</t>
        </is>
      </c>
      <c r="E141" s="12" t="b">
        <v>1</v>
      </c>
      <c r="F141" s="12" t="b">
        <v>1</v>
      </c>
      <c r="G141" s="12" t="b">
        <v>1</v>
      </c>
      <c r="H141" s="12" t="b">
        <v>1</v>
      </c>
      <c r="I141" s="12" t="b">
        <v>1</v>
      </c>
      <c r="J141" s="12" t="b">
        <v>0</v>
      </c>
      <c r="K141" s="12" t="b">
        <v>1</v>
      </c>
      <c r="L141" s="12" t="b">
        <v>1</v>
      </c>
      <c r="M141" s="12" t="b">
        <v>1</v>
      </c>
      <c r="N141" s="12" t="b">
        <v>1</v>
      </c>
      <c r="O141" s="12" t="n">
        <v>6</v>
      </c>
      <c r="P141" s="12" t="n">
        <v>0</v>
      </c>
      <c r="Q141" s="12" t="n">
        <v>6</v>
      </c>
      <c r="R141" s="12" t="n"/>
      <c r="S141" s="29" t="n">
        <v>46213</v>
      </c>
      <c r="T141" s="12" t="b">
        <v>1</v>
      </c>
      <c r="U141" s="12" t="b">
        <v>1</v>
      </c>
      <c r="V141" s="12" t="n">
        <v>0</v>
      </c>
      <c r="W141" s="30" t="n">
        <v>0</v>
      </c>
      <c r="X141" s="12" t="inlineStr">
        <is>
          <t>Azqch5V18kbA5bqW</t>
        </is>
      </c>
      <c r="Y141" s="30" t="n">
        <v>199</v>
      </c>
      <c r="Z141" s="12" t="inlineStr">
        <is>
          <t>active</t>
        </is>
      </c>
    </row>
    <row r="142">
      <c r="A142" s="8" t="inlineStr">
        <is>
          <t>985d437f-90e6-4b9f-9b7d-62cb8c1131f7</t>
        </is>
      </c>
      <c r="B142" s="8" t="inlineStr">
        <is>
          <t>Fordham Lash NYC</t>
        </is>
      </c>
      <c r="C142" s="27" t="n">
        <v>46216</v>
      </c>
      <c r="D142" s="8" t="inlineStr">
        <is>
          <t>2026-07</t>
        </is>
      </c>
      <c r="E142" s="8" t="b">
        <v>1</v>
      </c>
      <c r="F142" s="8" t="b">
        <v>1</v>
      </c>
      <c r="G142" s="8" t="b">
        <v>1</v>
      </c>
      <c r="H142" s="8" t="b">
        <v>1</v>
      </c>
      <c r="I142" s="8" t="b">
        <v>1</v>
      </c>
      <c r="J142" s="8" t="b">
        <v>1</v>
      </c>
      <c r="K142" s="8" t="b">
        <v>0</v>
      </c>
      <c r="L142" s="8" t="b">
        <v>1</v>
      </c>
      <c r="M142" s="8" t="b">
        <v>1</v>
      </c>
      <c r="N142" s="8" t="b">
        <v>1</v>
      </c>
      <c r="O142" s="8" t="n">
        <v>80</v>
      </c>
      <c r="P142" s="8" t="n">
        <v>23</v>
      </c>
      <c r="Q142" s="8" t="n">
        <v>57</v>
      </c>
      <c r="R142" s="8" t="inlineStr">
        <is>
          <t>SETMORE</t>
        </is>
      </c>
      <c r="S142" s="27" t="n">
        <v>46237</v>
      </c>
      <c r="T142" s="8" t="b">
        <v>1</v>
      </c>
      <c r="U142" s="8" t="b">
        <v>1</v>
      </c>
      <c r="V142" s="8" t="n">
        <v>31</v>
      </c>
      <c r="W142" s="28" t="n">
        <v>850</v>
      </c>
      <c r="X142" s="8" t="inlineStr">
        <is>
          <t>16BVVTV37JaWMMyro</t>
        </is>
      </c>
      <c r="Y142" s="28" t="n">
        <v>299</v>
      </c>
      <c r="Z142" s="8" t="inlineStr">
        <is>
          <t>active</t>
        </is>
      </c>
    </row>
    <row r="143">
      <c r="A143" s="12" t="inlineStr">
        <is>
          <t>63ea2961-6f67-4680-bb27-33e82ba22646</t>
        </is>
      </c>
      <c r="B143" s="12" t="inlineStr">
        <is>
          <t>Magic Touch Electrolysis &amp; Skin Care</t>
        </is>
      </c>
      <c r="C143" s="29" t="n">
        <v>46216</v>
      </c>
      <c r="D143" s="12" t="inlineStr">
        <is>
          <t>2026-07</t>
        </is>
      </c>
      <c r="E143" s="12" t="b">
        <v>1</v>
      </c>
      <c r="F143" s="12" t="b">
        <v>1</v>
      </c>
      <c r="G143" s="12" t="b">
        <v>1</v>
      </c>
      <c r="H143" s="12" t="b">
        <v>1</v>
      </c>
      <c r="I143" s="12" t="b">
        <v>1</v>
      </c>
      <c r="J143" s="12" t="b">
        <v>0</v>
      </c>
      <c r="K143" s="12" t="b">
        <v>1</v>
      </c>
      <c r="L143" s="12" t="b">
        <v>1</v>
      </c>
      <c r="M143" s="12" t="b">
        <v>1</v>
      </c>
      <c r="N143" s="12" t="b">
        <v>1</v>
      </c>
      <c r="O143" s="12" t="n">
        <v>2</v>
      </c>
      <c r="P143" s="12" t="n">
        <v>2</v>
      </c>
      <c r="Q143" s="12" t="n">
        <v>0</v>
      </c>
      <c r="R143" s="12" t="n"/>
      <c r="S143" s="29" t="n">
        <v>46219</v>
      </c>
      <c r="T143" s="12" t="b">
        <v>1</v>
      </c>
      <c r="U143" s="12" t="b">
        <v>1</v>
      </c>
      <c r="V143" s="12" t="n">
        <v>0</v>
      </c>
      <c r="W143" s="30" t="n">
        <v>0</v>
      </c>
      <c r="X143" s="12" t="inlineStr">
        <is>
          <t>AzZw9ZUm3gQhu5oZH</t>
        </is>
      </c>
      <c r="Y143" s="30" t="n">
        <v>179</v>
      </c>
      <c r="Z143" s="12" t="inlineStr">
        <is>
          <t>active</t>
        </is>
      </c>
    </row>
    <row r="144">
      <c r="A144" s="8" t="inlineStr">
        <is>
          <t>e4e5a52e-fb5c-4109-8078-95913435d7c3</t>
        </is>
      </c>
      <c r="B144" s="8" t="inlineStr">
        <is>
          <t>Exclusive Hair Care Salon &amp; Spa</t>
        </is>
      </c>
      <c r="C144" s="27" t="n">
        <v>46217</v>
      </c>
      <c r="D144" s="8" t="inlineStr">
        <is>
          <t>2026-07</t>
        </is>
      </c>
      <c r="E144" s="8" t="b">
        <v>1</v>
      </c>
      <c r="F144" s="8" t="b">
        <v>1</v>
      </c>
      <c r="G144" s="8" t="b">
        <v>1</v>
      </c>
      <c r="H144" s="8" t="b">
        <v>1</v>
      </c>
      <c r="I144" s="8" t="b">
        <v>1</v>
      </c>
      <c r="J144" s="8" t="b">
        <v>0</v>
      </c>
      <c r="K144" s="8" t="b">
        <v>1</v>
      </c>
      <c r="L144" s="8" t="b">
        <v>1</v>
      </c>
      <c r="M144" s="8" t="b">
        <v>1</v>
      </c>
      <c r="N144" s="8" t="b">
        <v>1</v>
      </c>
      <c r="O144" s="8" t="n">
        <v>7</v>
      </c>
      <c r="P144" s="8" t="n">
        <v>7</v>
      </c>
      <c r="Q144" s="8" t="n">
        <v>0</v>
      </c>
      <c r="R144" s="8" t="n"/>
      <c r="S144" s="27" t="n">
        <v>46236</v>
      </c>
      <c r="T144" s="8" t="b">
        <v>1</v>
      </c>
      <c r="U144" s="8" t="b">
        <v>1</v>
      </c>
      <c r="V144" s="8" t="n">
        <v>0</v>
      </c>
      <c r="W144" s="28" t="n">
        <v>0</v>
      </c>
      <c r="X144" s="8" t="inlineStr">
        <is>
          <t>16Aa1IVB2NRNH4JN</t>
        </is>
      </c>
      <c r="Y144" s="28" t="n">
        <v>250</v>
      </c>
      <c r="Z144" s="8" t="inlineStr">
        <is>
          <t>active</t>
        </is>
      </c>
    </row>
    <row r="145">
      <c r="A145" s="12" t="inlineStr">
        <is>
          <t>43291529-ef8a-4828-ac99-2da0d20c2d23</t>
        </is>
      </c>
      <c r="B145" s="12" t="inlineStr">
        <is>
          <t>Studio 818 Locs &amp; Braids</t>
        </is>
      </c>
      <c r="C145" s="29" t="n">
        <v>46217</v>
      </c>
      <c r="D145" s="12" t="inlineStr">
        <is>
          <t>2026-07</t>
        </is>
      </c>
      <c r="E145" s="12" t="b">
        <v>1</v>
      </c>
      <c r="F145" s="12" t="b">
        <v>1</v>
      </c>
      <c r="G145" s="12" t="b">
        <v>1</v>
      </c>
      <c r="H145" s="12" t="b">
        <v>1</v>
      </c>
      <c r="I145" s="12" t="b">
        <v>1</v>
      </c>
      <c r="J145" s="12" t="b">
        <v>0</v>
      </c>
      <c r="K145" s="12" t="b">
        <v>1</v>
      </c>
      <c r="L145" s="12" t="b">
        <v>1</v>
      </c>
      <c r="M145" s="12" t="b">
        <v>1</v>
      </c>
      <c r="N145" s="12" t="b">
        <v>1</v>
      </c>
      <c r="O145" s="12" t="n">
        <v>9</v>
      </c>
      <c r="P145" s="12" t="n">
        <v>9</v>
      </c>
      <c r="Q145" s="12" t="n">
        <v>0</v>
      </c>
      <c r="R145" s="12" t="n"/>
      <c r="S145" s="29" t="n">
        <v>46234</v>
      </c>
      <c r="T145" s="12" t="b">
        <v>1</v>
      </c>
      <c r="U145" s="12" t="b">
        <v>1</v>
      </c>
      <c r="V145" s="12" t="n">
        <v>0</v>
      </c>
      <c r="W145" s="30" t="n">
        <v>0</v>
      </c>
      <c r="X145" s="12" t="inlineStr">
        <is>
          <t>AzqSZPVOobWqH2J4Y</t>
        </is>
      </c>
      <c r="Y145" s="30" t="n">
        <v>100</v>
      </c>
      <c r="Z145" s="12" t="inlineStr">
        <is>
          <t>active</t>
        </is>
      </c>
    </row>
    <row r="146">
      <c r="A146" s="8" t="inlineStr">
        <is>
          <t>a4b27563-bb91-4802-a920-803bb582cb7c</t>
        </is>
      </c>
      <c r="B146" s="8" t="inlineStr">
        <is>
          <t>Spa Skin Well</t>
        </is>
      </c>
      <c r="C146" s="27" t="n">
        <v>46218</v>
      </c>
      <c r="D146" s="8" t="inlineStr">
        <is>
          <t>2026-07</t>
        </is>
      </c>
      <c r="E146" s="8" t="b">
        <v>1</v>
      </c>
      <c r="F146" s="8" t="b">
        <v>1</v>
      </c>
      <c r="G146" s="8" t="b">
        <v>1</v>
      </c>
      <c r="H146" s="8" t="b">
        <v>1</v>
      </c>
      <c r="I146" s="8" t="b">
        <v>0</v>
      </c>
      <c r="J146" s="8" t="b">
        <v>0</v>
      </c>
      <c r="K146" s="8" t="b">
        <v>0</v>
      </c>
      <c r="L146" s="8" t="b">
        <v>0</v>
      </c>
      <c r="M146" s="8" t="b">
        <v>0</v>
      </c>
      <c r="N146" s="8" t="b">
        <v>0</v>
      </c>
      <c r="O146" s="8" t="n">
        <v>0</v>
      </c>
      <c r="P146" s="8" t="n">
        <v>0</v>
      </c>
      <c r="Q146" s="8" t="n">
        <v>0</v>
      </c>
      <c r="R146" s="8" t="n"/>
      <c r="S146" s="27" t="n"/>
      <c r="T146" s="8" t="b">
        <v>0</v>
      </c>
      <c r="U146" s="8" t="b">
        <v>0</v>
      </c>
      <c r="V146" s="8" t="n">
        <v>0</v>
      </c>
      <c r="W146" s="28" t="n">
        <v>0</v>
      </c>
      <c r="X146" s="8" t="inlineStr">
        <is>
          <t>169s88VAZNMheMKT7</t>
        </is>
      </c>
      <c r="Y146" s="28" t="n">
        <v>200</v>
      </c>
      <c r="Z146" s="8" t="inlineStr">
        <is>
          <t>active</t>
        </is>
      </c>
    </row>
    <row r="147">
      <c r="A147" s="12" t="inlineStr">
        <is>
          <t>7703e8ff-1a57-4764-82df-8392a796db4e</t>
        </is>
      </c>
      <c r="B147" s="12" t="inlineStr">
        <is>
          <t>Amira's Spa and Salon</t>
        </is>
      </c>
      <c r="C147" s="29" t="n">
        <v>46218</v>
      </c>
      <c r="D147" s="12" t="inlineStr">
        <is>
          <t>2026-07</t>
        </is>
      </c>
      <c r="E147" s="12" t="b">
        <v>1</v>
      </c>
      <c r="F147" s="12" t="b">
        <v>1</v>
      </c>
      <c r="G147" s="12" t="b">
        <v>1</v>
      </c>
      <c r="H147" s="12" t="b">
        <v>1</v>
      </c>
      <c r="I147" s="12" t="b">
        <v>1</v>
      </c>
      <c r="J147" s="12" t="b">
        <v>0</v>
      </c>
      <c r="K147" s="12" t="b">
        <v>1</v>
      </c>
      <c r="L147" s="12" t="b">
        <v>1</v>
      </c>
      <c r="M147" s="12" t="b">
        <v>1</v>
      </c>
      <c r="N147" s="12" t="b">
        <v>1</v>
      </c>
      <c r="O147" s="12" t="n">
        <v>18</v>
      </c>
      <c r="P147" s="12" t="n">
        <v>2</v>
      </c>
      <c r="Q147" s="12" t="n">
        <v>16</v>
      </c>
      <c r="R147" s="12" t="n"/>
      <c r="S147" s="29" t="n">
        <v>46237</v>
      </c>
      <c r="T147" s="12" t="b">
        <v>1</v>
      </c>
      <c r="U147" s="12" t="b">
        <v>1</v>
      </c>
      <c r="V147" s="12" t="n">
        <v>0</v>
      </c>
      <c r="W147" s="30" t="n">
        <v>0</v>
      </c>
      <c r="X147" s="12" t="inlineStr">
        <is>
          <t>AzhmdyVFl8Ccj5Nr</t>
        </is>
      </c>
      <c r="Y147" s="30" t="n">
        <v>200</v>
      </c>
      <c r="Z147" s="12" t="inlineStr">
        <is>
          <t>active</t>
        </is>
      </c>
    </row>
    <row r="148">
      <c r="A148" s="8" t="inlineStr">
        <is>
          <t>63e9f695-5138-47a1-b2cb-8109d6763fdc</t>
        </is>
      </c>
      <c r="B148" s="8" t="inlineStr">
        <is>
          <t>Meraki &amp; Co. Salon &amp; Spa</t>
        </is>
      </c>
      <c r="C148" s="27" t="n">
        <v>46219</v>
      </c>
      <c r="D148" s="8" t="inlineStr">
        <is>
          <t>2026-07</t>
        </is>
      </c>
      <c r="E148" s="8" t="b">
        <v>1</v>
      </c>
      <c r="F148" s="8" t="b">
        <v>0</v>
      </c>
      <c r="G148" s="8" t="b">
        <v>0</v>
      </c>
      <c r="H148" s="8" t="b">
        <v>0</v>
      </c>
      <c r="I148" s="8" t="b">
        <v>0</v>
      </c>
      <c r="J148" s="8" t="b">
        <v>0</v>
      </c>
      <c r="K148" s="8" t="b">
        <v>0</v>
      </c>
      <c r="L148" s="8" t="b">
        <v>0</v>
      </c>
      <c r="M148" s="8" t="b">
        <v>0</v>
      </c>
      <c r="N148" s="8" t="b">
        <v>0</v>
      </c>
      <c r="O148" s="8" t="n">
        <v>0</v>
      </c>
      <c r="P148" s="8" t="n">
        <v>0</v>
      </c>
      <c r="Q148" s="8" t="n">
        <v>0</v>
      </c>
      <c r="R148" s="8" t="n"/>
      <c r="S148" s="27" t="n"/>
      <c r="T148" s="8" t="b">
        <v>0</v>
      </c>
      <c r="U148" s="8" t="b">
        <v>0</v>
      </c>
      <c r="V148" s="8" t="n">
        <v>0</v>
      </c>
      <c r="W148" s="28" t="n">
        <v>0</v>
      </c>
      <c r="X148" s="8" t="inlineStr">
        <is>
          <t>6og62V9GDvb83Ii2</t>
        </is>
      </c>
      <c r="Y148" s="28" t="n">
        <v>250</v>
      </c>
      <c r="Z148" s="8" t="inlineStr">
        <is>
          <t>active</t>
        </is>
      </c>
    </row>
    <row r="149">
      <c r="A149" s="12" t="inlineStr">
        <is>
          <t>d8edfc9f-ce9b-4e67-8cc5-a1643a682a1b</t>
        </is>
      </c>
      <c r="B149" s="12" t="inlineStr">
        <is>
          <t>The glam Lounge</t>
        </is>
      </c>
      <c r="C149" s="29" t="n">
        <v>46219</v>
      </c>
      <c r="D149" s="12" t="inlineStr">
        <is>
          <t>2026-07</t>
        </is>
      </c>
      <c r="E149" s="12" t="b">
        <v>1</v>
      </c>
      <c r="F149" s="12" t="b">
        <v>1</v>
      </c>
      <c r="G149" s="12" t="b">
        <v>1</v>
      </c>
      <c r="H149" s="12" t="b">
        <v>1</v>
      </c>
      <c r="I149" s="12" t="b">
        <v>1</v>
      </c>
      <c r="J149" s="12" t="b">
        <v>0</v>
      </c>
      <c r="K149" s="12" t="b">
        <v>1</v>
      </c>
      <c r="L149" s="12" t="b">
        <v>1</v>
      </c>
      <c r="M149" s="12" t="b">
        <v>1</v>
      </c>
      <c r="N149" s="12" t="b">
        <v>1</v>
      </c>
      <c r="O149" s="12" t="n">
        <v>1</v>
      </c>
      <c r="P149" s="12" t="n">
        <v>1</v>
      </c>
      <c r="Q149" s="12" t="n">
        <v>0</v>
      </c>
      <c r="R149" s="12" t="n"/>
      <c r="S149" s="29" t="n">
        <v>46219</v>
      </c>
      <c r="T149" s="12" t="b">
        <v>1</v>
      </c>
      <c r="U149" s="12" t="b">
        <v>1</v>
      </c>
      <c r="V149" s="12" t="n">
        <v>0</v>
      </c>
      <c r="W149" s="30" t="n">
        <v>0</v>
      </c>
      <c r="X149" s="12" t="inlineStr">
        <is>
          <t>AzyjG5VPZLpgx1zVr</t>
        </is>
      </c>
      <c r="Y149" s="30" t="n"/>
      <c r="Z149" s="12" t="n"/>
    </row>
    <row r="150">
      <c r="A150" s="8" t="inlineStr">
        <is>
          <t>cedf3d37-d044-4f43-a40e-a084a814b21b</t>
        </is>
      </c>
      <c r="B150" s="8" t="inlineStr">
        <is>
          <t>Spa Elegant (Eyebrow Threading,Waxing,Facials,Lamination,Perming &amp; many more s</t>
        </is>
      </c>
      <c r="C150" s="27" t="n">
        <v>46220</v>
      </c>
      <c r="D150" s="8" t="inlineStr">
        <is>
          <t>2026-07</t>
        </is>
      </c>
      <c r="E150" s="8" t="b">
        <v>1</v>
      </c>
      <c r="F150" s="8" t="b">
        <v>1</v>
      </c>
      <c r="G150" s="8" t="b">
        <v>1</v>
      </c>
      <c r="H150" s="8" t="b">
        <v>1</v>
      </c>
      <c r="I150" s="8" t="b">
        <v>1</v>
      </c>
      <c r="J150" s="8" t="b">
        <v>0</v>
      </c>
      <c r="K150" s="8" t="b">
        <v>1</v>
      </c>
      <c r="L150" s="8" t="b">
        <v>1</v>
      </c>
      <c r="M150" s="8" t="b">
        <v>1</v>
      </c>
      <c r="N150" s="8" t="b">
        <v>1</v>
      </c>
      <c r="O150" s="8" t="n">
        <v>26</v>
      </c>
      <c r="P150" s="8" t="n">
        <v>20</v>
      </c>
      <c r="Q150" s="8" t="n">
        <v>6</v>
      </c>
      <c r="R150" s="8" t="n"/>
      <c r="S150" s="27" t="n">
        <v>46236</v>
      </c>
      <c r="T150" s="8" t="b">
        <v>1</v>
      </c>
      <c r="U150" s="8" t="b">
        <v>1</v>
      </c>
      <c r="V150" s="8" t="n">
        <v>0</v>
      </c>
      <c r="W150" s="28" t="n">
        <v>0</v>
      </c>
      <c r="X150" s="8" t="inlineStr">
        <is>
          <t>cus_P6S4xKIbdfLBt3</t>
        </is>
      </c>
      <c r="Y150" s="28" t="n">
        <v>140</v>
      </c>
      <c r="Z150" s="8" t="inlineStr">
        <is>
          <t>active</t>
        </is>
      </c>
    </row>
    <row r="151">
      <c r="A151" s="12" t="inlineStr">
        <is>
          <t>5774e2ef-b657-4b92-b072-56ada5961334</t>
        </is>
      </c>
      <c r="B151" s="12" t="inlineStr">
        <is>
          <t>Max Hair Salon Baltimore</t>
        </is>
      </c>
      <c r="C151" s="29" t="n">
        <v>46220</v>
      </c>
      <c r="D151" s="12" t="inlineStr">
        <is>
          <t>2026-07</t>
        </is>
      </c>
      <c r="E151" s="12" t="b">
        <v>1</v>
      </c>
      <c r="F151" s="12" t="b">
        <v>1</v>
      </c>
      <c r="G151" s="12" t="b">
        <v>1</v>
      </c>
      <c r="H151" s="12" t="b">
        <v>1</v>
      </c>
      <c r="I151" s="12" t="b">
        <v>1</v>
      </c>
      <c r="J151" s="12" t="b">
        <v>1</v>
      </c>
      <c r="K151" s="12" t="b">
        <v>0</v>
      </c>
      <c r="L151" s="12" t="b">
        <v>1</v>
      </c>
      <c r="M151" s="12" t="b">
        <v>1</v>
      </c>
      <c r="N151" s="12" t="b">
        <v>1</v>
      </c>
      <c r="O151" s="12" t="n">
        <v>2</v>
      </c>
      <c r="P151" s="12" t="n">
        <v>2</v>
      </c>
      <c r="Q151" s="12" t="n">
        <v>0</v>
      </c>
      <c r="R151" s="12" t="n"/>
      <c r="S151" s="29" t="n">
        <v>46234</v>
      </c>
      <c r="T151" s="12" t="b">
        <v>1</v>
      </c>
      <c r="U151" s="12" t="b">
        <v>1</v>
      </c>
      <c r="V151" s="12" t="n">
        <v>0</v>
      </c>
      <c r="W151" s="30" t="n">
        <v>0</v>
      </c>
      <c r="X151" s="12" t="inlineStr">
        <is>
          <t>cus_PdqsoQAz9ZqpW7</t>
        </is>
      </c>
      <c r="Y151" s="30" t="n">
        <v>150</v>
      </c>
      <c r="Z151" s="12" t="inlineStr">
        <is>
          <t>active</t>
        </is>
      </c>
    </row>
    <row r="152">
      <c r="A152" s="8" t="inlineStr">
        <is>
          <t>0beb9482-2598-4110-9438-bd2dfdb9da74</t>
        </is>
      </c>
      <c r="B152" s="8" t="inlineStr">
        <is>
          <t>Profiles Nails and Beauty Salon</t>
        </is>
      </c>
      <c r="C152" s="27" t="n">
        <v>46220</v>
      </c>
      <c r="D152" s="8" t="inlineStr">
        <is>
          <t>2026-07</t>
        </is>
      </c>
      <c r="E152" s="8" t="b">
        <v>1</v>
      </c>
      <c r="F152" s="8" t="b">
        <v>1</v>
      </c>
      <c r="G152" s="8" t="b">
        <v>1</v>
      </c>
      <c r="H152" s="8" t="b">
        <v>1</v>
      </c>
      <c r="I152" s="8" t="b">
        <v>1</v>
      </c>
      <c r="J152" s="8" t="b">
        <v>0</v>
      </c>
      <c r="K152" s="8" t="b">
        <v>1</v>
      </c>
      <c r="L152" s="8" t="b">
        <v>1</v>
      </c>
      <c r="M152" s="8" t="b">
        <v>1</v>
      </c>
      <c r="N152" s="8" t="b">
        <v>1</v>
      </c>
      <c r="O152" s="8" t="n">
        <v>3</v>
      </c>
      <c r="P152" s="8" t="n">
        <v>3</v>
      </c>
      <c r="Q152" s="8" t="n">
        <v>0</v>
      </c>
      <c r="R152" s="8" t="n"/>
      <c r="S152" s="27" t="n">
        <v>46235</v>
      </c>
      <c r="T152" s="8" t="b">
        <v>1</v>
      </c>
      <c r="U152" s="8" t="b">
        <v>1</v>
      </c>
      <c r="V152" s="8" t="n">
        <v>0</v>
      </c>
      <c r="W152" s="28" t="n">
        <v>0</v>
      </c>
      <c r="X152" s="8" t="inlineStr">
        <is>
          <t>AzZcugVGi9LiXbvc</t>
        </is>
      </c>
      <c r="Y152" s="28" t="n">
        <v>150</v>
      </c>
      <c r="Z152" s="8" t="inlineStr">
        <is>
          <t>active</t>
        </is>
      </c>
    </row>
    <row r="153">
      <c r="A153" s="12" t="inlineStr">
        <is>
          <t>1de35141-968e-4c3b-8b61-2881d81bca91</t>
        </is>
      </c>
      <c r="B153" s="12" t="inlineStr">
        <is>
          <t>Heena’s Threading Salon Kips Bay</t>
        </is>
      </c>
      <c r="C153" s="29" t="n">
        <v>46220</v>
      </c>
      <c r="D153" s="12" t="inlineStr">
        <is>
          <t>2026-07</t>
        </is>
      </c>
      <c r="E153" s="12" t="b">
        <v>1</v>
      </c>
      <c r="F153" s="12" t="b">
        <v>1</v>
      </c>
      <c r="G153" s="12" t="b">
        <v>1</v>
      </c>
      <c r="H153" s="12" t="b">
        <v>1</v>
      </c>
      <c r="I153" s="12" t="b">
        <v>1</v>
      </c>
      <c r="J153" s="12" t="b">
        <v>0</v>
      </c>
      <c r="K153" s="12" t="b">
        <v>1</v>
      </c>
      <c r="L153" s="12" t="b">
        <v>1</v>
      </c>
      <c r="M153" s="12" t="b">
        <v>1</v>
      </c>
      <c r="N153" s="12" t="b">
        <v>1</v>
      </c>
      <c r="O153" s="12" t="n">
        <v>2</v>
      </c>
      <c r="P153" s="12" t="n">
        <v>2</v>
      </c>
      <c r="Q153" s="12" t="n">
        <v>0</v>
      </c>
      <c r="R153" s="12" t="n"/>
      <c r="S153" s="29" t="n">
        <v>46220</v>
      </c>
      <c r="T153" s="12" t="b">
        <v>1</v>
      </c>
      <c r="U153" s="12" t="b">
        <v>1</v>
      </c>
      <c r="V153" s="12" t="n">
        <v>0</v>
      </c>
      <c r="W153" s="30" t="n">
        <v>0</v>
      </c>
      <c r="X153" s="12" t="inlineStr">
        <is>
          <t>AzZdNlVPesTqm2A1K</t>
        </is>
      </c>
      <c r="Y153" s="30" t="n"/>
      <c r="Z153" s="12" t="n"/>
    </row>
    <row r="154">
      <c r="A154" s="8" t="inlineStr">
        <is>
          <t>dbdd7091-1fa0-44d2-80c7-4b146da8c6ce</t>
        </is>
      </c>
      <c r="B154" s="8" t="inlineStr">
        <is>
          <t>Heenas Threading Salon - Midtown East</t>
        </is>
      </c>
      <c r="C154" s="27" t="n">
        <v>46220</v>
      </c>
      <c r="D154" s="8" t="inlineStr">
        <is>
          <t>2026-07</t>
        </is>
      </c>
      <c r="E154" s="8" t="b">
        <v>1</v>
      </c>
      <c r="F154" s="8" t="b">
        <v>1</v>
      </c>
      <c r="G154" s="8" t="b">
        <v>1</v>
      </c>
      <c r="H154" s="8" t="b">
        <v>1</v>
      </c>
      <c r="I154" s="8" t="b">
        <v>1</v>
      </c>
      <c r="J154" s="8" t="b">
        <v>0</v>
      </c>
      <c r="K154" s="8" t="b">
        <v>1</v>
      </c>
      <c r="L154" s="8" t="b">
        <v>1</v>
      </c>
      <c r="M154" s="8" t="b">
        <v>1</v>
      </c>
      <c r="N154" s="8" t="b">
        <v>1</v>
      </c>
      <c r="O154" s="8" t="n">
        <v>296</v>
      </c>
      <c r="P154" s="8" t="n">
        <v>290</v>
      </c>
      <c r="Q154" s="8" t="n">
        <v>6</v>
      </c>
      <c r="R154" s="8" t="inlineStr">
        <is>
          <t>ZOCA_OPS</t>
        </is>
      </c>
      <c r="S154" s="27" t="n">
        <v>46237</v>
      </c>
      <c r="T154" s="8" t="b">
        <v>1</v>
      </c>
      <c r="U154" s="8" t="b">
        <v>1</v>
      </c>
      <c r="V154" s="8" t="n">
        <v>2</v>
      </c>
      <c r="W154" s="28" t="n">
        <v>95</v>
      </c>
      <c r="X154" s="8" t="inlineStr">
        <is>
          <t>16BhqHVPf1uH42Fa6</t>
        </is>
      </c>
      <c r="Y154" s="28" t="n">
        <v>248</v>
      </c>
      <c r="Z154" s="8" t="inlineStr">
        <is>
          <t>active</t>
        </is>
      </c>
    </row>
    <row r="155">
      <c r="A155" s="12" t="inlineStr">
        <is>
          <t>7adaab74-ca4a-4433-87a4-c091d0d47537</t>
        </is>
      </c>
      <c r="B155" s="12" t="inlineStr">
        <is>
          <t>Heena's Salon</t>
        </is>
      </c>
      <c r="C155" s="29" t="n">
        <v>46220</v>
      </c>
      <c r="D155" s="12" t="inlineStr">
        <is>
          <t>2026-07</t>
        </is>
      </c>
      <c r="E155" s="12" t="b">
        <v>1</v>
      </c>
      <c r="F155" s="12" t="b">
        <v>1</v>
      </c>
      <c r="G155" s="12" t="b">
        <v>1</v>
      </c>
      <c r="H155" s="12" t="b">
        <v>1</v>
      </c>
      <c r="I155" s="12" t="b">
        <v>1</v>
      </c>
      <c r="J155" s="12" t="b">
        <v>0</v>
      </c>
      <c r="K155" s="12" t="b">
        <v>1</v>
      </c>
      <c r="L155" s="12" t="b">
        <v>1</v>
      </c>
      <c r="M155" s="12" t="b">
        <v>1</v>
      </c>
      <c r="N155" s="12" t="b">
        <v>1</v>
      </c>
      <c r="O155" s="12" t="n">
        <v>0</v>
      </c>
      <c r="P155" s="12" t="n">
        <v>0</v>
      </c>
      <c r="Q155" s="12" t="n">
        <v>0</v>
      </c>
      <c r="R155" s="12" t="n"/>
      <c r="S155" s="29" t="n"/>
      <c r="T155" s="12" t="b">
        <v>0</v>
      </c>
      <c r="U155" s="12" t="b">
        <v>0</v>
      </c>
      <c r="V155" s="12" t="n">
        <v>0</v>
      </c>
      <c r="W155" s="30" t="n">
        <v>0</v>
      </c>
      <c r="X155" s="12" t="inlineStr">
        <is>
          <t>6okCYVPf6nRi27uj</t>
        </is>
      </c>
      <c r="Y155" s="30" t="n"/>
      <c r="Z155" s="12" t="n"/>
    </row>
    <row r="156">
      <c r="A156" s="8" t="inlineStr">
        <is>
          <t>c8f046cd-78e7-48be-859b-cd465e305c62</t>
        </is>
      </c>
      <c r="B156" s="8" t="inlineStr">
        <is>
          <t>Michael's Salon</t>
        </is>
      </c>
      <c r="C156" s="27" t="n">
        <v>46223</v>
      </c>
      <c r="D156" s="8" t="inlineStr">
        <is>
          <t>2026-07</t>
        </is>
      </c>
      <c r="E156" s="8" t="b">
        <v>1</v>
      </c>
      <c r="F156" s="8" t="b">
        <v>1</v>
      </c>
      <c r="G156" s="8" t="b">
        <v>1</v>
      </c>
      <c r="H156" s="8" t="b">
        <v>1</v>
      </c>
      <c r="I156" s="8" t="b">
        <v>1</v>
      </c>
      <c r="J156" s="8" t="b">
        <v>0</v>
      </c>
      <c r="K156" s="8" t="b">
        <v>1</v>
      </c>
      <c r="L156" s="8" t="b">
        <v>1</v>
      </c>
      <c r="M156" s="8" t="b">
        <v>1</v>
      </c>
      <c r="N156" s="8" t="b">
        <v>1</v>
      </c>
      <c r="O156" s="8" t="n">
        <v>1</v>
      </c>
      <c r="P156" s="8" t="n">
        <v>1</v>
      </c>
      <c r="Q156" s="8" t="n">
        <v>0</v>
      </c>
      <c r="R156" s="8" t="n"/>
      <c r="S156" s="27" t="n">
        <v>46235</v>
      </c>
      <c r="T156" s="8" t="b">
        <v>1</v>
      </c>
      <c r="U156" s="8" t="b">
        <v>1</v>
      </c>
      <c r="V156" s="8" t="n">
        <v>0</v>
      </c>
      <c r="W156" s="28" t="n">
        <v>0</v>
      </c>
      <c r="X156" s="8" t="inlineStr">
        <is>
          <t>169mjJV7dItp07NkH</t>
        </is>
      </c>
      <c r="Y156" s="28" t="n">
        <v>130</v>
      </c>
      <c r="Z156" s="8" t="inlineStr">
        <is>
          <t>active</t>
        </is>
      </c>
    </row>
    <row r="157">
      <c r="A157" s="12" t="inlineStr">
        <is>
          <t>1960e66e-331d-413f-8bab-4611a2e96e4d</t>
        </is>
      </c>
      <c r="B157" s="12" t="inlineStr">
        <is>
          <t>Belladonna laser&amp;skin clinic</t>
        </is>
      </c>
      <c r="C157" s="29" t="n">
        <v>46224</v>
      </c>
      <c r="D157" s="12" t="inlineStr">
        <is>
          <t>2026-07</t>
        </is>
      </c>
      <c r="E157" s="12" t="b">
        <v>1</v>
      </c>
      <c r="F157" s="12" t="b">
        <v>1</v>
      </c>
      <c r="G157" s="12" t="b">
        <v>1</v>
      </c>
      <c r="H157" s="12" t="b">
        <v>1</v>
      </c>
      <c r="I157" s="12" t="b">
        <v>1</v>
      </c>
      <c r="J157" s="12" t="b">
        <v>0</v>
      </c>
      <c r="K157" s="12" t="b">
        <v>1</v>
      </c>
      <c r="L157" s="12" t="b">
        <v>1</v>
      </c>
      <c r="M157" s="12" t="b">
        <v>1</v>
      </c>
      <c r="N157" s="12" t="b">
        <v>1</v>
      </c>
      <c r="O157" s="12" t="n">
        <v>10</v>
      </c>
      <c r="P157" s="12" t="n">
        <v>2</v>
      </c>
      <c r="Q157" s="12" t="n">
        <v>8</v>
      </c>
      <c r="R157" s="12" t="n"/>
      <c r="S157" s="29" t="n">
        <v>46236</v>
      </c>
      <c r="T157" s="12" t="b">
        <v>1</v>
      </c>
      <c r="U157" s="12" t="b">
        <v>1</v>
      </c>
      <c r="V157" s="12" t="n">
        <v>0</v>
      </c>
      <c r="W157" s="30" t="n">
        <v>0</v>
      </c>
      <c r="X157" s="12" t="inlineStr">
        <is>
          <t>cus_P8e3k6k1XxnZpw</t>
        </is>
      </c>
      <c r="Y157" s="30" t="n">
        <v>199</v>
      </c>
      <c r="Z157" s="12" t="inlineStr">
        <is>
          <t>active</t>
        </is>
      </c>
    </row>
    <row r="158">
      <c r="A158" s="8" t="inlineStr">
        <is>
          <t>de72b63f-3389-4c7a-85df-679a9daaeeb6</t>
        </is>
      </c>
      <c r="B158" s="8" t="inlineStr">
        <is>
          <t>Korean Massage by Maya</t>
        </is>
      </c>
      <c r="C158" s="27" t="n">
        <v>46224</v>
      </c>
      <c r="D158" s="8" t="inlineStr">
        <is>
          <t>2026-07</t>
        </is>
      </c>
      <c r="E158" s="8" t="b">
        <v>1</v>
      </c>
      <c r="F158" s="8" t="b">
        <v>1</v>
      </c>
      <c r="G158" s="8" t="b">
        <v>1</v>
      </c>
      <c r="H158" s="8" t="b">
        <v>1</v>
      </c>
      <c r="I158" s="8" t="b">
        <v>1</v>
      </c>
      <c r="J158" s="8" t="b">
        <v>0</v>
      </c>
      <c r="K158" s="8" t="b">
        <v>1</v>
      </c>
      <c r="L158" s="8" t="b">
        <v>1</v>
      </c>
      <c r="M158" s="8" t="b">
        <v>1</v>
      </c>
      <c r="N158" s="8" t="b">
        <v>1</v>
      </c>
      <c r="O158" s="8" t="n">
        <v>60</v>
      </c>
      <c r="P158" s="8" t="n">
        <v>2</v>
      </c>
      <c r="Q158" s="8" t="n">
        <v>58</v>
      </c>
      <c r="R158" s="8" t="n"/>
      <c r="S158" s="27" t="n">
        <v>46237</v>
      </c>
      <c r="T158" s="8" t="b">
        <v>1</v>
      </c>
      <c r="U158" s="8" t="b">
        <v>1</v>
      </c>
      <c r="V158" s="8" t="n">
        <v>0</v>
      </c>
      <c r="W158" s="28" t="n">
        <v>0</v>
      </c>
      <c r="X158" s="8" t="inlineStr">
        <is>
          <t>Azqf3iV2CI26pM0pc</t>
        </is>
      </c>
      <c r="Y158" s="28" t="n">
        <v>199</v>
      </c>
      <c r="Z158" s="8" t="inlineStr">
        <is>
          <t>active</t>
        </is>
      </c>
    </row>
    <row r="159">
      <c r="A159" s="12" t="inlineStr">
        <is>
          <t>b7727b5b-fe0b-4b9e-938f-24eb80ee6917</t>
        </is>
      </c>
      <c r="B159" s="12" t="inlineStr">
        <is>
          <t>The Braiding Place Elgin</t>
        </is>
      </c>
      <c r="C159" s="29" t="n">
        <v>46224</v>
      </c>
      <c r="D159" s="12" t="inlineStr">
        <is>
          <t>2026-07</t>
        </is>
      </c>
      <c r="E159" s="12" t="b">
        <v>1</v>
      </c>
      <c r="F159" s="12" t="b">
        <v>1</v>
      </c>
      <c r="G159" s="12" t="b">
        <v>0</v>
      </c>
      <c r="H159" s="12" t="b">
        <v>0</v>
      </c>
      <c r="I159" s="12" t="b">
        <v>0</v>
      </c>
      <c r="J159" s="12" t="b">
        <v>0</v>
      </c>
      <c r="K159" s="12" t="b">
        <v>0</v>
      </c>
      <c r="L159" s="12" t="b">
        <v>0</v>
      </c>
      <c r="M159" s="12" t="b">
        <v>0</v>
      </c>
      <c r="N159" s="12" t="b">
        <v>0</v>
      </c>
      <c r="O159" s="12" t="n">
        <v>0</v>
      </c>
      <c r="P159" s="12" t="n">
        <v>0</v>
      </c>
      <c r="Q159" s="12" t="n">
        <v>0</v>
      </c>
      <c r="R159" s="12" t="n"/>
      <c r="S159" s="29" t="n"/>
      <c r="T159" s="12" t="b">
        <v>0</v>
      </c>
      <c r="U159" s="12" t="b">
        <v>0</v>
      </c>
      <c r="V159" s="12" t="n">
        <v>0</v>
      </c>
      <c r="W159" s="30" t="n">
        <v>0</v>
      </c>
      <c r="X159" s="12" t="inlineStr">
        <is>
          <t>16AqoWV0sJKTV395H</t>
        </is>
      </c>
      <c r="Y159" s="30" t="n">
        <v>199</v>
      </c>
      <c r="Z159" s="12" t="inlineStr">
        <is>
          <t>active</t>
        </is>
      </c>
    </row>
    <row r="160">
      <c r="A160" s="8" t="inlineStr">
        <is>
          <t>3fab3243-202a-4ff1-9fe3-298c3c592322</t>
        </is>
      </c>
      <c r="B160" s="8" t="inlineStr">
        <is>
          <t>BB Meme Salon Hillcrest</t>
        </is>
      </c>
      <c r="C160" s="27" t="n">
        <v>46224</v>
      </c>
      <c r="D160" s="8" t="inlineStr">
        <is>
          <t>2026-07</t>
        </is>
      </c>
      <c r="E160" s="8" t="b">
        <v>1</v>
      </c>
      <c r="F160" s="8" t="b">
        <v>1</v>
      </c>
      <c r="G160" s="8" t="b">
        <v>1</v>
      </c>
      <c r="H160" s="8" t="b">
        <v>1</v>
      </c>
      <c r="I160" s="8" t="b">
        <v>1</v>
      </c>
      <c r="J160" s="8" t="b">
        <v>0</v>
      </c>
      <c r="K160" s="8" t="b">
        <v>1</v>
      </c>
      <c r="L160" s="8" t="b">
        <v>1</v>
      </c>
      <c r="M160" s="8" t="b">
        <v>1</v>
      </c>
      <c r="N160" s="8" t="b">
        <v>1</v>
      </c>
      <c r="O160" s="8" t="n">
        <v>0</v>
      </c>
      <c r="P160" s="8" t="n">
        <v>0</v>
      </c>
      <c r="Q160" s="8" t="n">
        <v>0</v>
      </c>
      <c r="R160" s="8" t="n"/>
      <c r="S160" s="27" t="n"/>
      <c r="T160" s="8" t="b">
        <v>0</v>
      </c>
      <c r="U160" s="8" t="b">
        <v>0</v>
      </c>
      <c r="V160" s="8" t="n">
        <v>0</v>
      </c>
      <c r="W160" s="28" t="n">
        <v>0</v>
      </c>
      <c r="X160" s="8" t="inlineStr">
        <is>
          <t>AzZRuuUxGU9oZ181F</t>
        </is>
      </c>
      <c r="Y160" s="28" t="n">
        <v>249</v>
      </c>
      <c r="Z160" s="8" t="inlineStr">
        <is>
          <t>active</t>
        </is>
      </c>
    </row>
    <row r="161">
      <c r="A161" s="12" t="inlineStr">
        <is>
          <t>9f64bf3a-7a9e-414f-8de4-d49cc793c741</t>
        </is>
      </c>
      <c r="B161" s="12" t="inlineStr">
        <is>
          <t>Sara Ochoa Hair</t>
        </is>
      </c>
      <c r="C161" s="29" t="n">
        <v>46224</v>
      </c>
      <c r="D161" s="12" t="inlineStr">
        <is>
          <t>2026-07</t>
        </is>
      </c>
      <c r="E161" s="12" t="b">
        <v>1</v>
      </c>
      <c r="F161" s="12" t="b">
        <v>1</v>
      </c>
      <c r="G161" s="12" t="b">
        <v>1</v>
      </c>
      <c r="H161" s="12" t="b">
        <v>1</v>
      </c>
      <c r="I161" s="12" t="b">
        <v>1</v>
      </c>
      <c r="J161" s="12" t="b">
        <v>0</v>
      </c>
      <c r="K161" s="12" t="b">
        <v>1</v>
      </c>
      <c r="L161" s="12" t="b">
        <v>1</v>
      </c>
      <c r="M161" s="12" t="b">
        <v>1</v>
      </c>
      <c r="N161" s="12" t="b">
        <v>1</v>
      </c>
      <c r="O161" s="12" t="n">
        <v>38</v>
      </c>
      <c r="P161" s="12" t="n">
        <v>2</v>
      </c>
      <c r="Q161" s="12" t="n">
        <v>36</v>
      </c>
      <c r="R161" s="12" t="n"/>
      <c r="S161" s="29" t="n">
        <v>46236</v>
      </c>
      <c r="T161" s="12" t="b">
        <v>1</v>
      </c>
      <c r="U161" s="12" t="b">
        <v>1</v>
      </c>
      <c r="V161" s="12" t="n">
        <v>0</v>
      </c>
      <c r="W161" s="30" t="n">
        <v>0</v>
      </c>
      <c r="X161" s="12" t="inlineStr">
        <is>
          <t>cus_RFqIZAk2ekY15q</t>
        </is>
      </c>
      <c r="Y161" s="30" t="n">
        <v>99</v>
      </c>
      <c r="Z161" s="12" t="inlineStr">
        <is>
          <t>active</t>
        </is>
      </c>
    </row>
    <row r="162">
      <c r="A162" s="8" t="inlineStr">
        <is>
          <t>952b38d0-193b-4b5f-9c85-9f501ed3396b</t>
        </is>
      </c>
      <c r="B162" s="8" t="inlineStr">
        <is>
          <t>Massage Bliss</t>
        </is>
      </c>
      <c r="C162" s="27" t="n">
        <v>46224</v>
      </c>
      <c r="D162" s="8" t="inlineStr">
        <is>
          <t>2026-07</t>
        </is>
      </c>
      <c r="E162" s="8" t="b">
        <v>1</v>
      </c>
      <c r="F162" s="8" t="b">
        <v>1</v>
      </c>
      <c r="G162" s="8" t="b">
        <v>1</v>
      </c>
      <c r="H162" s="8" t="b">
        <v>1</v>
      </c>
      <c r="I162" s="8" t="b">
        <v>1</v>
      </c>
      <c r="J162" s="8" t="b">
        <v>0</v>
      </c>
      <c r="K162" s="8" t="b">
        <v>1</v>
      </c>
      <c r="L162" s="8" t="b">
        <v>1</v>
      </c>
      <c r="M162" s="8" t="b">
        <v>1</v>
      </c>
      <c r="N162" s="8" t="b">
        <v>1</v>
      </c>
      <c r="O162" s="8" t="n">
        <v>9</v>
      </c>
      <c r="P162" s="8" t="n">
        <v>2</v>
      </c>
      <c r="Q162" s="8" t="n">
        <v>7</v>
      </c>
      <c r="R162" s="8" t="inlineStr">
        <is>
          <t>BOOKSY</t>
        </is>
      </c>
      <c r="S162" s="27" t="n">
        <v>46237</v>
      </c>
      <c r="T162" s="8" t="b">
        <v>1</v>
      </c>
      <c r="U162" s="8" t="b">
        <v>1</v>
      </c>
      <c r="V162" s="8" t="n">
        <v>0</v>
      </c>
      <c r="W162" s="28" t="n">
        <v>0</v>
      </c>
      <c r="X162" s="8" t="inlineStr">
        <is>
          <t>cus_U01K0EoGjlps8K</t>
        </is>
      </c>
      <c r="Y162" s="28" t="n">
        <v>250</v>
      </c>
      <c r="Z162" s="8" t="inlineStr">
        <is>
          <t>active</t>
        </is>
      </c>
    </row>
    <row r="163">
      <c r="A163" s="12" t="inlineStr">
        <is>
          <t>50b3b676-83b0-4908-baef-bb7127ba557b</t>
        </is>
      </c>
      <c r="B163" s="12" t="inlineStr">
        <is>
          <t>BH MASSAGE</t>
        </is>
      </c>
      <c r="C163" s="29" t="n">
        <v>46225</v>
      </c>
      <c r="D163" s="12" t="inlineStr">
        <is>
          <t>2026-07</t>
        </is>
      </c>
      <c r="E163" s="12" t="b">
        <v>1</v>
      </c>
      <c r="F163" s="12" t="b">
        <v>1</v>
      </c>
      <c r="G163" s="12" t="b">
        <v>1</v>
      </c>
      <c r="H163" s="12" t="b">
        <v>1</v>
      </c>
      <c r="I163" s="12" t="b">
        <v>1</v>
      </c>
      <c r="J163" s="12" t="b">
        <v>0</v>
      </c>
      <c r="K163" s="12" t="b">
        <v>0</v>
      </c>
      <c r="L163" s="12" t="b">
        <v>0</v>
      </c>
      <c r="M163" s="12" t="b">
        <v>0</v>
      </c>
      <c r="N163" s="12" t="b">
        <v>0</v>
      </c>
      <c r="O163" s="12" t="n">
        <v>0</v>
      </c>
      <c r="P163" s="12" t="n">
        <v>0</v>
      </c>
      <c r="Q163" s="12" t="n">
        <v>0</v>
      </c>
      <c r="R163" s="12" t="n"/>
      <c r="S163" s="29" t="n"/>
      <c r="T163" s="12" t="b">
        <v>0</v>
      </c>
      <c r="U163" s="12" t="b">
        <v>0</v>
      </c>
      <c r="V163" s="12" t="n">
        <v>0</v>
      </c>
      <c r="W163" s="30" t="n">
        <v>0</v>
      </c>
      <c r="X163" s="12" t="inlineStr">
        <is>
          <t>cus_RnXFNccC3jpWno</t>
        </is>
      </c>
      <c r="Y163" s="30" t="n">
        <v>179</v>
      </c>
      <c r="Z163" s="12" t="inlineStr">
        <is>
          <t>active</t>
        </is>
      </c>
    </row>
    <row r="164">
      <c r="A164" s="8" t="inlineStr">
        <is>
          <t>337bf9a0-24ed-47ea-a826-4905e8cffe4e</t>
        </is>
      </c>
      <c r="B164" s="8" t="inlineStr">
        <is>
          <t>Concierge Health and Wellness Massage &amp; Spa Ltd Co</t>
        </is>
      </c>
      <c r="C164" s="27" t="n">
        <v>46225</v>
      </c>
      <c r="D164" s="8" t="inlineStr">
        <is>
          <t>2026-07</t>
        </is>
      </c>
      <c r="E164" s="8" t="b">
        <v>1</v>
      </c>
      <c r="F164" s="8" t="b">
        <v>1</v>
      </c>
      <c r="G164" s="8" t="b">
        <v>1</v>
      </c>
      <c r="H164" s="8" t="b">
        <v>1</v>
      </c>
      <c r="I164" s="8" t="b">
        <v>1</v>
      </c>
      <c r="J164" s="8" t="b">
        <v>0</v>
      </c>
      <c r="K164" s="8" t="b">
        <v>1</v>
      </c>
      <c r="L164" s="8" t="b">
        <v>1</v>
      </c>
      <c r="M164" s="8" t="b">
        <v>1</v>
      </c>
      <c r="N164" s="8" t="b">
        <v>1</v>
      </c>
      <c r="O164" s="8" t="n">
        <v>4</v>
      </c>
      <c r="P164" s="8" t="n">
        <v>4</v>
      </c>
      <c r="Q164" s="8" t="n">
        <v>0</v>
      </c>
      <c r="R164" s="8" t="n"/>
      <c r="S164" s="27" t="n">
        <v>46235</v>
      </c>
      <c r="T164" s="8" t="b">
        <v>1</v>
      </c>
      <c r="U164" s="8" t="b">
        <v>1</v>
      </c>
      <c r="V164" s="8" t="n">
        <v>0</v>
      </c>
      <c r="W164" s="28" t="n">
        <v>0</v>
      </c>
      <c r="X164" s="8" t="inlineStr">
        <is>
          <t>AzqYAaVQ7wSKw20Lh</t>
        </is>
      </c>
      <c r="Y164" s="28" t="n"/>
      <c r="Z164" s="8" t="inlineStr">
        <is>
          <t>in_trial</t>
        </is>
      </c>
    </row>
    <row r="165">
      <c r="A165" s="12" t="inlineStr">
        <is>
          <t>698da6f0-8dce-420d-9555-80df7c31d51f</t>
        </is>
      </c>
      <c r="B165" s="12" t="inlineStr">
        <is>
          <t>Hairbygino</t>
        </is>
      </c>
      <c r="C165" s="29" t="n">
        <v>46225</v>
      </c>
      <c r="D165" s="12" t="inlineStr">
        <is>
          <t>2026-07</t>
        </is>
      </c>
      <c r="E165" s="12" t="b">
        <v>1</v>
      </c>
      <c r="F165" s="12" t="b">
        <v>1</v>
      </c>
      <c r="G165" s="12" t="b">
        <v>1</v>
      </c>
      <c r="H165" s="12" t="b">
        <v>1</v>
      </c>
      <c r="I165" s="12" t="b">
        <v>1</v>
      </c>
      <c r="J165" s="12" t="b">
        <v>0</v>
      </c>
      <c r="K165" s="12" t="b">
        <v>1</v>
      </c>
      <c r="L165" s="12" t="b">
        <v>1</v>
      </c>
      <c r="M165" s="12" t="b">
        <v>1</v>
      </c>
      <c r="N165" s="12" t="b">
        <v>1</v>
      </c>
      <c r="O165" s="12" t="n">
        <v>0</v>
      </c>
      <c r="P165" s="12" t="n">
        <v>0</v>
      </c>
      <c r="Q165" s="12" t="n">
        <v>0</v>
      </c>
      <c r="R165" s="12" t="n"/>
      <c r="S165" s="29" t="n"/>
      <c r="T165" s="12" t="b">
        <v>0</v>
      </c>
      <c r="U165" s="12" t="b">
        <v>0</v>
      </c>
      <c r="V165" s="12" t="n">
        <v>0</v>
      </c>
      <c r="W165" s="30" t="n">
        <v>0</v>
      </c>
      <c r="X165" s="12" t="inlineStr">
        <is>
          <t>AzydCSUv76K9U3ddC</t>
        </is>
      </c>
      <c r="Y165" s="30" t="n">
        <v>149</v>
      </c>
      <c r="Z165" s="12" t="inlineStr">
        <is>
          <t>active</t>
        </is>
      </c>
    </row>
    <row r="166">
      <c r="A166" s="8" t="inlineStr">
        <is>
          <t>a8d07261-acd3-42bd-a0b6-fc470558e89c</t>
        </is>
      </c>
      <c r="B166" s="8" t="inlineStr">
        <is>
          <t>Connected Health Plano</t>
        </is>
      </c>
      <c r="C166" s="27" t="n">
        <v>46226</v>
      </c>
      <c r="D166" s="8" t="inlineStr">
        <is>
          <t>2026-07</t>
        </is>
      </c>
      <c r="E166" s="8" t="b">
        <v>1</v>
      </c>
      <c r="F166" s="8" t="b">
        <v>1</v>
      </c>
      <c r="G166" s="8" t="b">
        <v>1</v>
      </c>
      <c r="H166" s="8" t="b">
        <v>1</v>
      </c>
      <c r="I166" s="8" t="b">
        <v>1</v>
      </c>
      <c r="J166" s="8" t="b">
        <v>0</v>
      </c>
      <c r="K166" s="8" t="b">
        <v>0</v>
      </c>
      <c r="L166" s="8" t="b">
        <v>0</v>
      </c>
      <c r="M166" s="8" t="b">
        <v>0</v>
      </c>
      <c r="N166" s="8" t="b">
        <v>0</v>
      </c>
      <c r="O166" s="8" t="n">
        <v>2</v>
      </c>
      <c r="P166" s="8" t="n">
        <v>2</v>
      </c>
      <c r="Q166" s="8" t="n">
        <v>0</v>
      </c>
      <c r="R166" s="8" t="n"/>
      <c r="S166" s="27" t="n">
        <v>46234</v>
      </c>
      <c r="T166" s="8" t="b">
        <v>1</v>
      </c>
      <c r="U166" s="8" t="b">
        <v>1</v>
      </c>
      <c r="V166" s="8" t="n">
        <v>0</v>
      </c>
      <c r="W166" s="28" t="n">
        <v>0</v>
      </c>
      <c r="X166" s="8" t="inlineStr">
        <is>
          <t>AzZb2QVEA6x0rVhw</t>
        </is>
      </c>
      <c r="Y166" s="28" t="n">
        <v>150</v>
      </c>
      <c r="Z166" s="8" t="inlineStr">
        <is>
          <t>active</t>
        </is>
      </c>
    </row>
    <row r="167">
      <c r="A167" s="12" t="inlineStr">
        <is>
          <t>8d738621-63c5-46b5-ac14-47fa11c40644</t>
        </is>
      </c>
      <c r="B167" s="12" t="inlineStr">
        <is>
          <t>Salon Greco The European Day Spa</t>
        </is>
      </c>
      <c r="C167" s="29" t="n">
        <v>46226</v>
      </c>
      <c r="D167" s="12" t="inlineStr">
        <is>
          <t>2026-07</t>
        </is>
      </c>
      <c r="E167" s="12" t="b">
        <v>1</v>
      </c>
      <c r="F167" s="12" t="b">
        <v>1</v>
      </c>
      <c r="G167" s="12" t="b">
        <v>1</v>
      </c>
      <c r="H167" s="12" t="b">
        <v>1</v>
      </c>
      <c r="I167" s="12" t="b">
        <v>1</v>
      </c>
      <c r="J167" s="12" t="b">
        <v>0</v>
      </c>
      <c r="K167" s="12" t="b">
        <v>0</v>
      </c>
      <c r="L167" s="12" t="b">
        <v>0</v>
      </c>
      <c r="M167" s="12" t="b">
        <v>0</v>
      </c>
      <c r="N167" s="12" t="b">
        <v>0</v>
      </c>
      <c r="O167" s="12" t="n">
        <v>0</v>
      </c>
      <c r="P167" s="12" t="n">
        <v>0</v>
      </c>
      <c r="Q167" s="12" t="n">
        <v>0</v>
      </c>
      <c r="R167" s="12" t="n"/>
      <c r="S167" s="29" t="n"/>
      <c r="T167" s="12" t="b">
        <v>0</v>
      </c>
      <c r="U167" s="12" t="b">
        <v>0</v>
      </c>
      <c r="V167" s="12" t="n">
        <v>0</v>
      </c>
      <c r="W167" s="30" t="n">
        <v>0</v>
      </c>
      <c r="X167" s="12" t="inlineStr">
        <is>
          <t>AzZve5UxYupoatk7</t>
        </is>
      </c>
      <c r="Y167" s="30" t="n">
        <v>249</v>
      </c>
      <c r="Z167" s="12" t="inlineStr">
        <is>
          <t>active</t>
        </is>
      </c>
    </row>
    <row r="168">
      <c r="A168" s="8" t="inlineStr">
        <is>
          <t>e23ca384-5dca-4e68-b5d5-74fc0b347bd4</t>
        </is>
      </c>
      <c r="B168" s="8" t="inlineStr">
        <is>
          <t>Atlas Bodyworks</t>
        </is>
      </c>
      <c r="C168" s="27" t="n">
        <v>46227</v>
      </c>
      <c r="D168" s="8" t="inlineStr">
        <is>
          <t>2026-07</t>
        </is>
      </c>
      <c r="E168" s="8" t="b">
        <v>1</v>
      </c>
      <c r="F168" s="8" t="b">
        <v>1</v>
      </c>
      <c r="G168" s="8" t="b">
        <v>1</v>
      </c>
      <c r="H168" s="8" t="b">
        <v>1</v>
      </c>
      <c r="I168" s="8" t="b">
        <v>1</v>
      </c>
      <c r="J168" s="8" t="b">
        <v>1</v>
      </c>
      <c r="K168" s="8" t="b">
        <v>0</v>
      </c>
      <c r="L168" s="8" t="b">
        <v>1</v>
      </c>
      <c r="M168" s="8" t="b">
        <v>1</v>
      </c>
      <c r="N168" s="8" t="b">
        <v>1</v>
      </c>
      <c r="O168" s="8" t="n">
        <v>27</v>
      </c>
      <c r="P168" s="8" t="n">
        <v>2</v>
      </c>
      <c r="Q168" s="8" t="n">
        <v>25</v>
      </c>
      <c r="R168" s="8" t="n"/>
      <c r="S168" s="27" t="n">
        <v>46237</v>
      </c>
      <c r="T168" s="8" t="b">
        <v>1</v>
      </c>
      <c r="U168" s="8" t="b">
        <v>1</v>
      </c>
      <c r="V168" s="8" t="n">
        <v>4</v>
      </c>
      <c r="W168" s="28" t="n">
        <v>593.35</v>
      </c>
      <c r="X168" s="8" t="inlineStr">
        <is>
          <t>cus_PynM1ZMkpdmCdg</t>
        </is>
      </c>
      <c r="Y168" s="28" t="n">
        <v>149</v>
      </c>
      <c r="Z168" s="8" t="inlineStr">
        <is>
          <t>active</t>
        </is>
      </c>
    </row>
    <row r="169">
      <c r="A169" s="12" t="inlineStr">
        <is>
          <t>46b2cc79-156b-46f1-b7e1-9cb09a01568c</t>
        </is>
      </c>
      <c r="B169" s="12" t="inlineStr">
        <is>
          <t>Hcg Fit</t>
        </is>
      </c>
      <c r="C169" s="29" t="n">
        <v>46227</v>
      </c>
      <c r="D169" s="12" t="inlineStr">
        <is>
          <t>2026-07</t>
        </is>
      </c>
      <c r="E169" s="12" t="b">
        <v>1</v>
      </c>
      <c r="F169" s="12" t="b">
        <v>0</v>
      </c>
      <c r="G169" s="12" t="b">
        <v>0</v>
      </c>
      <c r="H169" s="12" t="b">
        <v>0</v>
      </c>
      <c r="I169" s="12" t="b">
        <v>0</v>
      </c>
      <c r="J169" s="12" t="b">
        <v>0</v>
      </c>
      <c r="K169" s="12" t="b">
        <v>0</v>
      </c>
      <c r="L169" s="12" t="b">
        <v>0</v>
      </c>
      <c r="M169" s="12" t="b">
        <v>0</v>
      </c>
      <c r="N169" s="12" t="b">
        <v>0</v>
      </c>
      <c r="O169" s="12" t="n">
        <v>0</v>
      </c>
      <c r="P169" s="12" t="n">
        <v>0</v>
      </c>
      <c r="Q169" s="12" t="n">
        <v>0</v>
      </c>
      <c r="R169" s="12" t="n"/>
      <c r="S169" s="29" t="n"/>
      <c r="T169" s="12" t="b">
        <v>0</v>
      </c>
      <c r="U169" s="12" t="b">
        <v>0</v>
      </c>
      <c r="V169" s="12" t="n">
        <v>0</v>
      </c>
      <c r="W169" s="30" t="n">
        <v>0</v>
      </c>
      <c r="X169" s="12" t="inlineStr">
        <is>
          <t>cus_OLcvcN9f2E2b0P</t>
        </is>
      </c>
      <c r="Y169" s="30" t="n">
        <v>149</v>
      </c>
      <c r="Z169" s="12" t="inlineStr">
        <is>
          <t>active</t>
        </is>
      </c>
    </row>
    <row r="170">
      <c r="A170" s="8" t="inlineStr">
        <is>
          <t>ee05d106-2540-460e-a8cb-a9cdf9e3435c</t>
        </is>
      </c>
      <c r="B170" s="8" t="inlineStr">
        <is>
          <t>Worldwide Stretch Therapy</t>
        </is>
      </c>
      <c r="C170" s="27" t="n">
        <v>46227</v>
      </c>
      <c r="D170" s="8" t="inlineStr">
        <is>
          <t>2026-07</t>
        </is>
      </c>
      <c r="E170" s="8" t="b">
        <v>1</v>
      </c>
      <c r="F170" s="8" t="b">
        <v>1</v>
      </c>
      <c r="G170" s="8" t="b">
        <v>1</v>
      </c>
      <c r="H170" s="8" t="b">
        <v>1</v>
      </c>
      <c r="I170" s="8" t="b">
        <v>1</v>
      </c>
      <c r="J170" s="8" t="b">
        <v>1</v>
      </c>
      <c r="K170" s="8" t="b">
        <v>0</v>
      </c>
      <c r="L170" s="8" t="b">
        <v>1</v>
      </c>
      <c r="M170" s="8" t="b">
        <v>1</v>
      </c>
      <c r="N170" s="8" t="b">
        <v>1</v>
      </c>
      <c r="O170" s="8" t="n">
        <v>1</v>
      </c>
      <c r="P170" s="8" t="n">
        <v>1</v>
      </c>
      <c r="Q170" s="8" t="n">
        <v>0</v>
      </c>
      <c r="R170" s="8" t="n"/>
      <c r="S170" s="27" t="n">
        <v>46236</v>
      </c>
      <c r="T170" s="8" t="b">
        <v>1</v>
      </c>
      <c r="U170" s="8" t="b">
        <v>1</v>
      </c>
      <c r="V170" s="8" t="n">
        <v>0</v>
      </c>
      <c r="W170" s="28" t="n">
        <v>0</v>
      </c>
      <c r="X170" s="8" t="inlineStr">
        <is>
          <t>AzZn5LV0JIIXQ2yzp</t>
        </is>
      </c>
      <c r="Y170" s="28" t="n">
        <v>149</v>
      </c>
      <c r="Z170" s="8" t="inlineStr">
        <is>
          <t>active</t>
        </is>
      </c>
    </row>
    <row r="171">
      <c r="A171" s="12" t="inlineStr">
        <is>
          <t>cb7b6345-1112-4941-9f8f-0e60689b354b</t>
        </is>
      </c>
      <c r="B171" s="12" t="inlineStr">
        <is>
          <t>I DO UPDO</t>
        </is>
      </c>
      <c r="C171" s="29" t="n">
        <v>46230</v>
      </c>
      <c r="D171" s="12" t="inlineStr">
        <is>
          <t>2026-07</t>
        </is>
      </c>
      <c r="E171" s="12" t="b">
        <v>1</v>
      </c>
      <c r="F171" s="12" t="b">
        <v>1</v>
      </c>
      <c r="G171" s="12" t="b">
        <v>1</v>
      </c>
      <c r="H171" s="12" t="b">
        <v>0</v>
      </c>
      <c r="I171" s="12" t="b">
        <v>0</v>
      </c>
      <c r="J171" s="12" t="b">
        <v>0</v>
      </c>
      <c r="K171" s="12" t="b">
        <v>0</v>
      </c>
      <c r="L171" s="12" t="b">
        <v>0</v>
      </c>
      <c r="M171" s="12" t="b">
        <v>0</v>
      </c>
      <c r="N171" s="12" t="b">
        <v>0</v>
      </c>
      <c r="O171" s="12" t="n">
        <v>0</v>
      </c>
      <c r="P171" s="12" t="n">
        <v>0</v>
      </c>
      <c r="Q171" s="12" t="n">
        <v>0</v>
      </c>
      <c r="R171" s="12" t="n"/>
      <c r="S171" s="29" t="n"/>
      <c r="T171" s="12" t="b">
        <v>0</v>
      </c>
      <c r="U171" s="12" t="b">
        <v>0</v>
      </c>
      <c r="V171" s="12" t="n">
        <v>0</v>
      </c>
      <c r="W171" s="30" t="n">
        <v>0</v>
      </c>
      <c r="X171" s="12" t="inlineStr">
        <is>
          <t>AziEzcVQsvXx7R8Y</t>
        </is>
      </c>
      <c r="Y171" s="30" t="n">
        <v>150</v>
      </c>
      <c r="Z171" s="12" t="inlineStr">
        <is>
          <t>active</t>
        </is>
      </c>
    </row>
    <row r="172">
      <c r="A172" s="8" t="inlineStr">
        <is>
          <t>a7740932-5fb3-4911-88b8-ca7f3bb1fdac</t>
        </is>
      </c>
      <c r="B172" s="8" t="inlineStr">
        <is>
          <t>Golden Jade Massage &amp; Healing</t>
        </is>
      </c>
      <c r="C172" s="27" t="n">
        <v>46232</v>
      </c>
      <c r="D172" s="8" t="inlineStr">
        <is>
          <t>2026-07</t>
        </is>
      </c>
      <c r="E172" s="8" t="b">
        <v>1</v>
      </c>
      <c r="F172" s="8" t="b">
        <v>1</v>
      </c>
      <c r="G172" s="8" t="b">
        <v>1</v>
      </c>
      <c r="H172" s="8" t="b">
        <v>1</v>
      </c>
      <c r="I172" s="8" t="b">
        <v>1</v>
      </c>
      <c r="J172" s="8" t="b">
        <v>0</v>
      </c>
      <c r="K172" s="8" t="b">
        <v>1</v>
      </c>
      <c r="L172" s="8" t="b">
        <v>1</v>
      </c>
      <c r="M172" s="8" t="b">
        <v>1</v>
      </c>
      <c r="N172" s="8" t="b">
        <v>1</v>
      </c>
      <c r="O172" s="8" t="n">
        <v>10</v>
      </c>
      <c r="P172" s="8" t="n">
        <v>6</v>
      </c>
      <c r="Q172" s="8" t="n">
        <v>4</v>
      </c>
      <c r="R172" s="8" t="inlineStr">
        <is>
          <t>FRESHA</t>
        </is>
      </c>
      <c r="S172" s="27" t="n">
        <v>46236</v>
      </c>
      <c r="T172" s="8" t="b">
        <v>1</v>
      </c>
      <c r="U172" s="8" t="b">
        <v>1</v>
      </c>
      <c r="V172" s="8" t="n">
        <v>1503</v>
      </c>
      <c r="W172" s="28" t="n">
        <v>171479</v>
      </c>
      <c r="X172" s="8" t="inlineStr">
        <is>
          <t>cus_RTe7MfHW66YW5P</t>
        </is>
      </c>
      <c r="Y172" s="28" t="n">
        <v>349</v>
      </c>
      <c r="Z172" s="8" t="inlineStr">
        <is>
          <t>active</t>
        </is>
      </c>
    </row>
    <row r="173">
      <c r="A173" s="12" t="inlineStr">
        <is>
          <t>00bf7ae1-18f0-41e2-95d2-a08f76cf4abb</t>
        </is>
      </c>
      <c r="B173" s="12" t="inlineStr">
        <is>
          <t>Threading n more Haircut, Hair Color &amp; Facials</t>
        </is>
      </c>
      <c r="C173" s="29" t="n">
        <v>46232</v>
      </c>
      <c r="D173" s="12" t="inlineStr">
        <is>
          <t>2026-07</t>
        </is>
      </c>
      <c r="E173" s="12" t="b">
        <v>1</v>
      </c>
      <c r="F173" s="12" t="b">
        <v>1</v>
      </c>
      <c r="G173" s="12" t="b">
        <v>0</v>
      </c>
      <c r="H173" s="12" t="b">
        <v>0</v>
      </c>
      <c r="I173" s="12" t="b">
        <v>0</v>
      </c>
      <c r="J173" s="12" t="b">
        <v>0</v>
      </c>
      <c r="K173" s="12" t="b">
        <v>0</v>
      </c>
      <c r="L173" s="12" t="b">
        <v>0</v>
      </c>
      <c r="M173" s="12" t="b">
        <v>0</v>
      </c>
      <c r="N173" s="12" t="b">
        <v>0</v>
      </c>
      <c r="O173" s="12" t="n">
        <v>0</v>
      </c>
      <c r="P173" s="12" t="n">
        <v>0</v>
      </c>
      <c r="Q173" s="12" t="n">
        <v>0</v>
      </c>
      <c r="R173" s="12" t="n"/>
      <c r="S173" s="29" t="n"/>
      <c r="T173" s="12" t="b">
        <v>0</v>
      </c>
      <c r="U173" s="12" t="b">
        <v>0</v>
      </c>
      <c r="V173" s="12" t="n">
        <v>0</v>
      </c>
      <c r="W173" s="30" t="n">
        <v>0</v>
      </c>
      <c r="X173" s="12" t="inlineStr">
        <is>
          <t>AziCHGUyESjywpao</t>
        </is>
      </c>
      <c r="Y173" s="30" t="n">
        <v>99</v>
      </c>
      <c r="Z173" s="12" t="inlineStr">
        <is>
          <t>active</t>
        </is>
      </c>
    </row>
    <row r="174">
      <c r="A174" s="8" t="inlineStr">
        <is>
          <t>8c1f5c73-e91f-4148-95f6-b765ae6647bf</t>
        </is>
      </c>
      <c r="B174" s="8" t="inlineStr">
        <is>
          <t>Pampered Image Beauty Bar &amp; Bridal</t>
        </is>
      </c>
      <c r="C174" s="27" t="n">
        <v>46232</v>
      </c>
      <c r="D174" s="8" t="inlineStr">
        <is>
          <t>2026-07</t>
        </is>
      </c>
      <c r="E174" s="8" t="b">
        <v>1</v>
      </c>
      <c r="F174" s="8" t="b">
        <v>1</v>
      </c>
      <c r="G174" s="8" t="b">
        <v>1</v>
      </c>
      <c r="H174" s="8" t="b">
        <v>1</v>
      </c>
      <c r="I174" s="8" t="b">
        <v>1</v>
      </c>
      <c r="J174" s="8" t="b">
        <v>0</v>
      </c>
      <c r="K174" s="8" t="b">
        <v>0</v>
      </c>
      <c r="L174" s="8" t="b">
        <v>0</v>
      </c>
      <c r="M174" s="8" t="b">
        <v>0</v>
      </c>
      <c r="N174" s="8" t="b">
        <v>0</v>
      </c>
      <c r="O174" s="8" t="n">
        <v>0</v>
      </c>
      <c r="P174" s="8" t="n">
        <v>0</v>
      </c>
      <c r="Q174" s="8" t="n">
        <v>0</v>
      </c>
      <c r="R174" s="8" t="n"/>
      <c r="S174" s="27" t="n"/>
      <c r="T174" s="8" t="b">
        <v>0</v>
      </c>
      <c r="U174" s="8" t="b">
        <v>0</v>
      </c>
      <c r="V174" s="8" t="n">
        <v>0</v>
      </c>
      <c r="W174" s="28" t="n">
        <v>0</v>
      </c>
      <c r="X174" s="8" t="inlineStr">
        <is>
          <t>Azi9Y3V1VRRC26Kx</t>
        </is>
      </c>
      <c r="Y174" s="28" t="n"/>
      <c r="Z174" s="8" t="inlineStr">
        <is>
          <t>cancelled</t>
        </is>
      </c>
    </row>
    <row r="175">
      <c r="A175" s="12" t="inlineStr">
        <is>
          <t>b71cc6f3-1e6c-4aec-9051-b98fa4441dc1</t>
        </is>
      </c>
      <c r="B175" s="12" t="inlineStr">
        <is>
          <t>Mitzie’s Hair</t>
        </is>
      </c>
      <c r="C175" s="29" t="n">
        <v>46232</v>
      </c>
      <c r="D175" s="12" t="inlineStr">
        <is>
          <t>2026-07</t>
        </is>
      </c>
      <c r="E175" s="12" t="b">
        <v>1</v>
      </c>
      <c r="F175" s="12" t="b">
        <v>1</v>
      </c>
      <c r="G175" s="12" t="b">
        <v>1</v>
      </c>
      <c r="H175" s="12" t="b">
        <v>1</v>
      </c>
      <c r="I175" s="12" t="b">
        <v>1</v>
      </c>
      <c r="J175" s="12" t="b">
        <v>1</v>
      </c>
      <c r="K175" s="12" t="b">
        <v>0</v>
      </c>
      <c r="L175" s="12" t="b">
        <v>1</v>
      </c>
      <c r="M175" s="12" t="b">
        <v>1</v>
      </c>
      <c r="N175" s="12" t="b">
        <v>1</v>
      </c>
      <c r="O175" s="12" t="n">
        <v>0</v>
      </c>
      <c r="P175" s="12" t="n">
        <v>0</v>
      </c>
      <c r="Q175" s="12" t="n">
        <v>0</v>
      </c>
      <c r="R175" s="12" t="n"/>
      <c r="S175" s="29" t="n"/>
      <c r="T175" s="12" t="b">
        <v>0</v>
      </c>
      <c r="U175" s="12" t="b">
        <v>0</v>
      </c>
      <c r="V175" s="12" t="n">
        <v>0</v>
      </c>
      <c r="W175" s="30" t="n">
        <v>0</v>
      </c>
      <c r="X175" s="12" t="inlineStr">
        <is>
          <t>6oakgV19F13v2k2</t>
        </is>
      </c>
      <c r="Y175" s="30" t="n">
        <v>199</v>
      </c>
      <c r="Z175" s="12" t="inlineStr">
        <is>
          <t>active</t>
        </is>
      </c>
    </row>
    <row r="176">
      <c r="A176" s="8" t="inlineStr">
        <is>
          <t>5eb48d89-3b62-40e1-a96c-8a647623aeb7</t>
        </is>
      </c>
      <c r="B176" s="8" t="inlineStr">
        <is>
          <t>Salt Breeze Wellness</t>
        </is>
      </c>
      <c r="C176" s="27" t="n">
        <v>46233</v>
      </c>
      <c r="D176" s="8" t="inlineStr">
        <is>
          <t>2026-07</t>
        </is>
      </c>
      <c r="E176" s="8" t="b">
        <v>1</v>
      </c>
      <c r="F176" s="8" t="b">
        <v>1</v>
      </c>
      <c r="G176" s="8" t="b">
        <v>1</v>
      </c>
      <c r="H176" s="8" t="b">
        <v>1</v>
      </c>
      <c r="I176" s="8" t="b">
        <v>1</v>
      </c>
      <c r="J176" s="8" t="b">
        <v>0</v>
      </c>
      <c r="K176" s="8" t="b">
        <v>0</v>
      </c>
      <c r="L176" s="8" t="b">
        <v>0</v>
      </c>
      <c r="M176" s="8" t="b">
        <v>0</v>
      </c>
      <c r="N176" s="8" t="b">
        <v>0</v>
      </c>
      <c r="O176" s="8" t="n">
        <v>0</v>
      </c>
      <c r="P176" s="8" t="n">
        <v>0</v>
      </c>
      <c r="Q176" s="8" t="n">
        <v>0</v>
      </c>
      <c r="R176" s="8" t="n"/>
      <c r="S176" s="27" t="n"/>
      <c r="T176" s="8" t="b">
        <v>0</v>
      </c>
      <c r="U176" s="8" t="b">
        <v>0</v>
      </c>
      <c r="V176" s="8" t="n">
        <v>0</v>
      </c>
      <c r="W176" s="28" t="n">
        <v>0</v>
      </c>
      <c r="X176" s="8" t="inlineStr">
        <is>
          <t>cus_Tzx8EXtQfF8SY0</t>
        </is>
      </c>
      <c r="Y176" s="28" t="n">
        <v>349</v>
      </c>
      <c r="Z176" s="8" t="inlineStr">
        <is>
          <t>active</t>
        </is>
      </c>
    </row>
    <row r="177">
      <c r="A177" s="12" t="inlineStr">
        <is>
          <t>71ddb534-01b4-4e89-aa19-ea9188afa9c5</t>
        </is>
      </c>
      <c r="B177" s="12" t="inlineStr">
        <is>
          <t>OPULENCE GROOMING &amp; MORE</t>
        </is>
      </c>
      <c r="C177" s="29" t="n">
        <v>46234</v>
      </c>
      <c r="D177" s="12" t="inlineStr">
        <is>
          <t>2026-07</t>
        </is>
      </c>
      <c r="E177" s="12" t="b">
        <v>1</v>
      </c>
      <c r="F177" s="12" t="b">
        <v>1</v>
      </c>
      <c r="G177" s="12" t="b">
        <v>1</v>
      </c>
      <c r="H177" s="12" t="b">
        <v>1</v>
      </c>
      <c r="I177" s="12" t="b">
        <v>1</v>
      </c>
      <c r="J177" s="12" t="b">
        <v>1</v>
      </c>
      <c r="K177" s="12" t="b">
        <v>0</v>
      </c>
      <c r="L177" s="12" t="b">
        <v>1</v>
      </c>
      <c r="M177" s="12" t="b">
        <v>1</v>
      </c>
      <c r="N177" s="12" t="b">
        <v>1</v>
      </c>
      <c r="O177" s="12" t="n">
        <v>5</v>
      </c>
      <c r="P177" s="12" t="n">
        <v>1</v>
      </c>
      <c r="Q177" s="12" t="n">
        <v>4</v>
      </c>
      <c r="R177" s="12" t="n"/>
      <c r="S177" s="29" t="n">
        <v>46237</v>
      </c>
      <c r="T177" s="12" t="b">
        <v>1</v>
      </c>
      <c r="U177" s="12" t="b">
        <v>1</v>
      </c>
      <c r="V177" s="12" t="n">
        <v>1</v>
      </c>
      <c r="W177" s="30" t="n">
        <v>35</v>
      </c>
      <c r="X177" s="12" t="inlineStr">
        <is>
          <t>AzqTpXVBWkwu6CF5</t>
        </is>
      </c>
      <c r="Y177" s="30" t="n">
        <v>200</v>
      </c>
      <c r="Z177" s="12" t="inlineStr">
        <is>
          <t>active</t>
        </is>
      </c>
    </row>
    <row r="178">
      <c r="A178" s="8" t="inlineStr">
        <is>
          <t>e94cff23-14a0-448c-8a77-0600e345bd38</t>
        </is>
      </c>
      <c r="B178" s="8" t="inlineStr">
        <is>
          <t>Avon Beauty Salon</t>
        </is>
      </c>
      <c r="C178" s="27" t="n">
        <v>46237</v>
      </c>
      <c r="D178" s="8" t="inlineStr">
        <is>
          <t>2026-08</t>
        </is>
      </c>
      <c r="E178" s="8" t="b">
        <v>1</v>
      </c>
      <c r="F178" s="8" t="b">
        <v>0</v>
      </c>
      <c r="G178" s="8" t="b">
        <v>0</v>
      </c>
      <c r="H178" s="8" t="b">
        <v>0</v>
      </c>
      <c r="I178" s="8" t="b">
        <v>0</v>
      </c>
      <c r="J178" s="8" t="b">
        <v>0</v>
      </c>
      <c r="K178" s="8" t="b">
        <v>0</v>
      </c>
      <c r="L178" s="8" t="b">
        <v>0</v>
      </c>
      <c r="M178" s="8" t="b">
        <v>0</v>
      </c>
      <c r="N178" s="8" t="b">
        <v>0</v>
      </c>
      <c r="O178" s="8" t="n">
        <v>0</v>
      </c>
      <c r="P178" s="8" t="n">
        <v>0</v>
      </c>
      <c r="Q178" s="8" t="n">
        <v>0</v>
      </c>
      <c r="R178" s="8" t="n"/>
      <c r="S178" s="27" t="n"/>
      <c r="T178" s="8" t="b">
        <v>0</v>
      </c>
      <c r="U178" s="8" t="b">
        <v>0</v>
      </c>
      <c r="V178" s="8" t="n">
        <v>0</v>
      </c>
      <c r="W178" s="28" t="n">
        <v>0</v>
      </c>
      <c r="X178" s="8" t="inlineStr">
        <is>
          <t>Azqeq9V7dvIbU4ouw</t>
        </is>
      </c>
      <c r="Y178" s="28" t="n">
        <v>149</v>
      </c>
      <c r="Z178" s="8" t="inlineStr">
        <is>
          <t>active</t>
        </is>
      </c>
    </row>
    <row r="179">
      <c r="A179" s="12" t="inlineStr">
        <is>
          <t>bf179638-7ba3-45cc-abdf-ef852bbd7fe7</t>
        </is>
      </c>
      <c r="B179" s="12" t="inlineStr">
        <is>
          <t>Dash Hair &amp; Company, LLC</t>
        </is>
      </c>
      <c r="C179" s="29" t="n">
        <v>46237</v>
      </c>
      <c r="D179" s="12" t="inlineStr">
        <is>
          <t>2026-08</t>
        </is>
      </c>
      <c r="E179" s="12" t="b">
        <v>1</v>
      </c>
      <c r="F179" s="12" t="b">
        <v>1</v>
      </c>
      <c r="G179" s="12" t="b">
        <v>1</v>
      </c>
      <c r="H179" s="12" t="b">
        <v>1</v>
      </c>
      <c r="I179" s="12" t="b">
        <v>0</v>
      </c>
      <c r="J179" s="12" t="b">
        <v>0</v>
      </c>
      <c r="K179" s="12" t="b">
        <v>0</v>
      </c>
      <c r="L179" s="12" t="b">
        <v>0</v>
      </c>
      <c r="M179" s="12" t="b">
        <v>0</v>
      </c>
      <c r="N179" s="12" t="b">
        <v>0</v>
      </c>
      <c r="O179" s="12" t="n">
        <v>0</v>
      </c>
      <c r="P179" s="12" t="n">
        <v>0</v>
      </c>
      <c r="Q179" s="12" t="n">
        <v>0</v>
      </c>
      <c r="R179" s="12" t="n"/>
      <c r="S179" s="29" t="n"/>
      <c r="T179" s="12" t="b">
        <v>0</v>
      </c>
      <c r="U179" s="12" t="b">
        <v>0</v>
      </c>
      <c r="V179" s="12" t="n">
        <v>0</v>
      </c>
      <c r="W179" s="30" t="n">
        <v>0</v>
      </c>
      <c r="X179" s="12" t="inlineStr">
        <is>
          <t>cus_TzqHv02gA0Ps9j</t>
        </is>
      </c>
      <c r="Y179" s="30" t="n">
        <v>250</v>
      </c>
      <c r="Z179" s="12" t="inlineStr">
        <is>
          <t>active</t>
        </is>
      </c>
    </row>
    <row r="181">
      <c r="A181" s="26" t="inlineStr">
        <is>
          <t>LEGITIMATE LOCATIONS ONLY — 178 rows. Excluded from the raw scheduling.onboarding table: 237 locations flagged is_test=TRUE, 29 flagged is_active=FALSE, and 4 with no entities.entities row (legitimacy unverifiable). The raw table holds 446 distinct locations; over half are test data. Any figure quoting 444 includes test entities.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9" customWidth="1" min="4" max="4"/>
    <col width="17" customWidth="1" min="5" max="5"/>
    <col width="24" customWidth="1" min="6" max="6"/>
  </cols>
  <sheetData>
    <row r="1">
      <c r="A1" s="1" t="inlineStr">
        <is>
          <t>Cohort retention — 178 legitimate locations</t>
        </is>
      </c>
    </row>
    <row r="2">
      <c r="A2" s="16" t="inlineStr">
        <is>
          <t>Same definitions as Adoption Funnel; TOTAL reconciles to it exactly.</t>
        </is>
      </c>
    </row>
    <row r="4">
      <c r="A4" s="7" t="inlineStr">
        <is>
          <t>Cohort</t>
        </is>
      </c>
      <c r="B4" s="7" t="inlineStr">
        <is>
          <t>Entered</t>
        </is>
      </c>
      <c r="C4" s="7" t="inlineStr">
        <is>
          <t>Enabled (flag)</t>
        </is>
      </c>
      <c r="D4" s="7" t="inlineStr">
        <is>
          <t>Operationally live</t>
        </is>
      </c>
      <c r="E4" s="7" t="inlineStr">
        <is>
          <t>Live in last 30d</t>
        </is>
      </c>
      <c r="F4" s="7" t="inlineStr">
        <is>
          <t>% of op. live still live</t>
        </is>
      </c>
    </row>
    <row r="5">
      <c r="A5" s="12" t="inlineStr">
        <is>
          <t>2026-01</t>
        </is>
      </c>
      <c r="B5" s="12">
        <f>SUMPRODUCT(--(Locations!$D$2:$D$179=$A5))</f>
        <v/>
      </c>
      <c r="C5" s="12">
        <f>SUMPRODUCT(--(Locations!$D$2:$D$179=$A5),--(Locations!$M$2:$M$179=TRUE))</f>
        <v/>
      </c>
      <c r="D5" s="12">
        <f>SUMPRODUCT(--(Locations!$D$2:$D$179=$A5),--(Locations!$T$2:$T$179=TRUE))</f>
        <v/>
      </c>
      <c r="E5" s="12">
        <f>SUMPRODUCT(--(Locations!$D$2:$D$179=$A5),--(Locations!$S$2:$S$179&gt;=Summary!$B$3-30))</f>
        <v/>
      </c>
      <c r="F5" s="23">
        <f>IFERROR(E5/D5,0)</f>
        <v/>
      </c>
    </row>
    <row r="6">
      <c r="A6" s="12" t="inlineStr">
        <is>
          <t>2026-02</t>
        </is>
      </c>
      <c r="B6" s="12">
        <f>SUMPRODUCT(--(Locations!$D$2:$D$179=$A6))</f>
        <v/>
      </c>
      <c r="C6" s="12">
        <f>SUMPRODUCT(--(Locations!$D$2:$D$179=$A6),--(Locations!$M$2:$M$179=TRUE))</f>
        <v/>
      </c>
      <c r="D6" s="12">
        <f>SUMPRODUCT(--(Locations!$D$2:$D$179=$A6),--(Locations!$T$2:$T$179=TRUE))</f>
        <v/>
      </c>
      <c r="E6" s="12">
        <f>SUMPRODUCT(--(Locations!$D$2:$D$179=$A6),--(Locations!$S$2:$S$179&gt;=Summary!$B$3-30))</f>
        <v/>
      </c>
      <c r="F6" s="23">
        <f>IFERROR(E6/D6,0)</f>
        <v/>
      </c>
    </row>
    <row r="7">
      <c r="A7" s="12" t="inlineStr">
        <is>
          <t>2026-03</t>
        </is>
      </c>
      <c r="B7" s="12">
        <f>SUMPRODUCT(--(Locations!$D$2:$D$179=$A7))</f>
        <v/>
      </c>
      <c r="C7" s="12">
        <f>SUMPRODUCT(--(Locations!$D$2:$D$179=$A7),--(Locations!$M$2:$M$179=TRUE))</f>
        <v/>
      </c>
      <c r="D7" s="12">
        <f>SUMPRODUCT(--(Locations!$D$2:$D$179=$A7),--(Locations!$T$2:$T$179=TRUE))</f>
        <v/>
      </c>
      <c r="E7" s="12">
        <f>SUMPRODUCT(--(Locations!$D$2:$D$179=$A7),--(Locations!$S$2:$S$179&gt;=Summary!$B$3-30))</f>
        <v/>
      </c>
      <c r="F7" s="23">
        <f>IFERROR(E7/D7,0)</f>
        <v/>
      </c>
    </row>
    <row r="8">
      <c r="A8" s="12" t="inlineStr">
        <is>
          <t>2026-04</t>
        </is>
      </c>
      <c r="B8" s="12">
        <f>SUMPRODUCT(--(Locations!$D$2:$D$179=$A8))</f>
        <v/>
      </c>
      <c r="C8" s="12">
        <f>SUMPRODUCT(--(Locations!$D$2:$D$179=$A8),--(Locations!$M$2:$M$179=TRUE))</f>
        <v/>
      </c>
      <c r="D8" s="12">
        <f>SUMPRODUCT(--(Locations!$D$2:$D$179=$A8),--(Locations!$T$2:$T$179=TRUE))</f>
        <v/>
      </c>
      <c r="E8" s="12">
        <f>SUMPRODUCT(--(Locations!$D$2:$D$179=$A8),--(Locations!$S$2:$S$179&gt;=Summary!$B$3-30))</f>
        <v/>
      </c>
      <c r="F8" s="23">
        <f>IFERROR(E8/D8,0)</f>
        <v/>
      </c>
    </row>
    <row r="9">
      <c r="A9" s="12" t="inlineStr">
        <is>
          <t>2026-05</t>
        </is>
      </c>
      <c r="B9" s="12">
        <f>SUMPRODUCT(--(Locations!$D$2:$D$179=$A9))</f>
        <v/>
      </c>
      <c r="C9" s="12">
        <f>SUMPRODUCT(--(Locations!$D$2:$D$179=$A9),--(Locations!$M$2:$M$179=TRUE))</f>
        <v/>
      </c>
      <c r="D9" s="12">
        <f>SUMPRODUCT(--(Locations!$D$2:$D$179=$A9),--(Locations!$T$2:$T$179=TRUE))</f>
        <v/>
      </c>
      <c r="E9" s="12">
        <f>SUMPRODUCT(--(Locations!$D$2:$D$179=$A9),--(Locations!$S$2:$S$179&gt;=Summary!$B$3-30))</f>
        <v/>
      </c>
      <c r="F9" s="23">
        <f>IFERROR(E9/D9,0)</f>
        <v/>
      </c>
    </row>
    <row r="10">
      <c r="A10" s="12" t="inlineStr">
        <is>
          <t>2026-06</t>
        </is>
      </c>
      <c r="B10" s="12">
        <f>SUMPRODUCT(--(Locations!$D$2:$D$179=$A10))</f>
        <v/>
      </c>
      <c r="C10" s="12">
        <f>SUMPRODUCT(--(Locations!$D$2:$D$179=$A10),--(Locations!$M$2:$M$179=TRUE))</f>
        <v/>
      </c>
      <c r="D10" s="12">
        <f>SUMPRODUCT(--(Locations!$D$2:$D$179=$A10),--(Locations!$T$2:$T$179=TRUE))</f>
        <v/>
      </c>
      <c r="E10" s="12">
        <f>SUMPRODUCT(--(Locations!$D$2:$D$179=$A10),--(Locations!$S$2:$S$179&gt;=Summary!$B$3-30))</f>
        <v/>
      </c>
      <c r="F10" s="23">
        <f>IFERROR(E10/D10,0)</f>
        <v/>
      </c>
    </row>
    <row r="11">
      <c r="A11" s="12" t="inlineStr">
        <is>
          <t>2026-07</t>
        </is>
      </c>
      <c r="B11" s="12">
        <f>SUMPRODUCT(--(Locations!$D$2:$D$179=$A11))</f>
        <v/>
      </c>
      <c r="C11" s="12">
        <f>SUMPRODUCT(--(Locations!$D$2:$D$179=$A11),--(Locations!$M$2:$M$179=TRUE))</f>
        <v/>
      </c>
      <c r="D11" s="12">
        <f>SUMPRODUCT(--(Locations!$D$2:$D$179=$A11),--(Locations!$T$2:$T$179=TRUE))</f>
        <v/>
      </c>
      <c r="E11" s="12">
        <f>SUMPRODUCT(--(Locations!$D$2:$D$179=$A11),--(Locations!$S$2:$S$179&gt;=Summary!$B$3-30))</f>
        <v/>
      </c>
      <c r="F11" s="23">
        <f>IFERROR(E11/D11,0)</f>
        <v/>
      </c>
    </row>
    <row r="12">
      <c r="A12" s="12" t="inlineStr">
        <is>
          <t>2026-08</t>
        </is>
      </c>
      <c r="B12" s="12">
        <f>SUMPRODUCT(--(Locations!$D$2:$D$179=$A12))</f>
        <v/>
      </c>
      <c r="C12" s="12">
        <f>SUMPRODUCT(--(Locations!$D$2:$D$179=$A12),--(Locations!$M$2:$M$179=TRUE))</f>
        <v/>
      </c>
      <c r="D12" s="12">
        <f>SUMPRODUCT(--(Locations!$D$2:$D$179=$A12),--(Locations!$T$2:$T$179=TRUE))</f>
        <v/>
      </c>
      <c r="E12" s="12">
        <f>SUMPRODUCT(--(Locations!$D$2:$D$179=$A12),--(Locations!$S$2:$S$179&gt;=Summary!$B$3-30))</f>
        <v/>
      </c>
      <c r="F12" s="23">
        <f>IFERROR(E12/D12,0)</f>
        <v/>
      </c>
    </row>
    <row r="13">
      <c r="A13" s="31" t="inlineStr">
        <is>
          <t>TOTAL</t>
        </is>
      </c>
      <c r="B13" s="31">
        <f>SUM(B5:B12)</f>
        <v/>
      </c>
      <c r="C13" s="31">
        <f>SUM(C5:C12)</f>
        <v/>
      </c>
      <c r="D13" s="31">
        <f>SUM(D5:D12)</f>
        <v/>
      </c>
      <c r="E13" s="31">
        <f>SUM(E5:E12)</f>
        <v/>
      </c>
      <c r="F13" s="32">
        <f>IFERROR(E13/D13,0)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4" customWidth="1" min="3" max="3"/>
    <col width="10" customWidth="1" min="4" max="4"/>
  </cols>
  <sheetData>
    <row r="1">
      <c r="A1" s="1" t="inlineStr">
        <is>
          <t>Bookings, payments and displaced incumbents</t>
        </is>
      </c>
    </row>
    <row r="2">
      <c r="A2" s="26" t="inlineStr">
        <is>
          <t>Booking figures use the 'earned' definition. v1 used migration_source IS NULL alone and overstated volume ~2.4x.</t>
        </is>
      </c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What it is</t>
        </is>
      </c>
    </row>
    <row r="5">
      <c r="A5" s="21" t="inlineStr">
        <is>
          <t>Earned bookings since launch</t>
        </is>
      </c>
      <c r="B5" s="21">
        <f>SUM(Locations!$O$2:$O$445)</f>
        <v/>
      </c>
      <c r="C5" s="21" t="inlineStr">
        <is>
          <t>created 30/01/26 to as-of, no migration tag</t>
        </is>
      </c>
    </row>
    <row r="6">
      <c r="A6" s="21" t="inlineStr">
        <is>
          <t>Customer-made bookings</t>
        </is>
      </c>
      <c r="B6" s="21">
        <f>SUM(Locations!$P$2:$P$445)</f>
        <v/>
      </c>
      <c r="C6" s="21" t="inlineStr">
        <is>
          <t>created_by_type EC or CLIENT — proves demand</t>
        </is>
      </c>
    </row>
    <row r="7">
      <c r="A7" s="12" t="inlineStr">
        <is>
          <t>Staff-made bookings</t>
        </is>
      </c>
      <c r="B7" s="12">
        <f>SUM(Locations!$Q$2:$Q$445)</f>
        <v/>
      </c>
      <c r="C7" s="12" t="inlineStr">
        <is>
          <t>created_by_type SP</t>
        </is>
      </c>
    </row>
    <row r="8">
      <c r="A8" s="12" t="inlineStr">
        <is>
          <t>Pre-launch untagged (EXCLUDED)</t>
        </is>
      </c>
      <c r="B8" s="12">
        <f>SUM(Locations!$R$2:$R$445)</f>
        <v/>
      </c>
      <c r="C8" s="12" t="inlineStr">
        <is>
          <t>imported history with no migration_source</t>
        </is>
      </c>
    </row>
    <row r="9">
      <c r="A9" s="12" t="inlineStr">
        <is>
          <t>Tagged migration (EXCLUDED)</t>
        </is>
      </c>
      <c r="B9" s="12">
        <f>SUM(Locations!$S$2:$S$445)</f>
        <v/>
      </c>
      <c r="C9" s="12" t="inlineStr">
        <is>
          <t>explicitly flagged imports</t>
        </is>
      </c>
    </row>
    <row r="10">
      <c r="A10" s="12" t="inlineStr">
        <is>
          <t>Future-dated (EXCLUDED)</t>
        </is>
      </c>
      <c r="B10" s="12">
        <f>SUM(Locations!$T$2:$T$445)</f>
        <v/>
      </c>
      <c r="C10" s="12" t="inlineStr">
        <is>
          <t>impossible created_at values</t>
        </is>
      </c>
    </row>
    <row r="11">
      <c r="A11" s="21" t="inlineStr">
        <is>
          <t>Value processed (USD)</t>
        </is>
      </c>
      <c r="B11" s="24">
        <f>SUM(Locations!$AA$2:$AA$445)</f>
        <v/>
      </c>
      <c r="C11" s="21" t="inlineStr">
        <is>
          <t>completed payments created on/after 30/01/26</t>
        </is>
      </c>
    </row>
    <row r="12">
      <c r="A12" s="12" t="inlineStr">
        <is>
          <t>Locations that processed a payment</t>
        </is>
      </c>
      <c r="B12" s="12">
        <f>SUMPRODUCT(--(Locations!$Z$2:$Z$445&gt;0))</f>
        <v/>
      </c>
      <c r="C12" s="12" t="inlineStr"/>
    </row>
    <row r="14">
      <c r="A14" s="26" t="inlineStr">
        <is>
          <t>All-entity totals (whole scheduling.* schema): 9,605 earned bookings · 4,627 customer-made · $328,021 completed payments POST-LAUNCH across 139 accounts. All-time completed payments are $646,104, but $318,083 of that predates the 30/01/26 launch and must not be presented as product value. Live database, queried 04/08/26.</t>
        </is>
      </c>
    </row>
    <row r="16">
      <c r="A16" s="4" t="inlineStr">
        <is>
          <t>INCUMBENT SYSTEMS MIGRATED FROM</t>
        </is>
      </c>
    </row>
    <row r="17">
      <c r="A17" s="16" t="inlineStr">
        <is>
          <t>Hardcoded. Source: scheduling.bookings.migration_source, 03/08/26. Only 14 accounts imported history — the rest had nothing to move or never fully switched.</t>
        </is>
      </c>
    </row>
    <row r="18">
      <c r="A18" s="7" t="inlineStr">
        <is>
          <t>Prior system</t>
        </is>
      </c>
      <c r="B18" s="7" t="inlineStr">
        <is>
          <t>Bookings migrated</t>
        </is>
      </c>
      <c r="C18" s="7" t="inlineStr">
        <is>
          <t>Accounts</t>
        </is>
      </c>
      <c r="D18" s="7" t="inlineStr"/>
    </row>
    <row r="19">
      <c r="A19" s="12" t="inlineStr">
        <is>
          <t>Zoca internal ops</t>
        </is>
      </c>
      <c r="B19" s="12" t="n">
        <v>15756</v>
      </c>
      <c r="C19" s="12" t="n">
        <v>2</v>
      </c>
      <c r="D19" s="12" t="inlineStr"/>
    </row>
    <row r="20">
      <c r="A20" s="12" t="inlineStr">
        <is>
          <t>Square</t>
        </is>
      </c>
      <c r="B20" s="12" t="n">
        <v>7748</v>
      </c>
      <c r="C20" s="12" t="n">
        <v>4</v>
      </c>
      <c r="D20" s="12" t="inlineStr"/>
    </row>
    <row r="21">
      <c r="A21" s="12" t="inlineStr">
        <is>
          <t>Vagaro</t>
        </is>
      </c>
      <c r="B21" s="12" t="n">
        <v>6321</v>
      </c>
      <c r="C21" s="12" t="n">
        <v>1</v>
      </c>
      <c r="D21" s="12" t="inlineStr"/>
    </row>
    <row r="22">
      <c r="A22" s="12" t="inlineStr">
        <is>
          <t>Fresha</t>
        </is>
      </c>
      <c r="B22" s="12" t="n">
        <v>4984</v>
      </c>
      <c r="C22" s="12" t="n">
        <v>1</v>
      </c>
      <c r="D22" s="12" t="inlineStr"/>
    </row>
    <row r="23">
      <c r="A23" s="12" t="inlineStr">
        <is>
          <t>Booksy</t>
        </is>
      </c>
      <c r="B23" s="12" t="n">
        <v>4088</v>
      </c>
      <c r="C23" s="12" t="n">
        <v>1</v>
      </c>
      <c r="D23" s="12" t="inlineStr"/>
    </row>
    <row r="24">
      <c r="A24" s="12" t="inlineStr">
        <is>
          <t>GlossGenius</t>
        </is>
      </c>
      <c r="B24" s="12" t="n">
        <v>3978</v>
      </c>
      <c r="C24" s="12" t="n">
        <v>1</v>
      </c>
      <c r="D24" s="12" t="inlineStr"/>
    </row>
    <row r="25">
      <c r="A25" s="12" t="inlineStr">
        <is>
          <t>Acuity</t>
        </is>
      </c>
      <c r="B25" s="12" t="n">
        <v>3338</v>
      </c>
      <c r="C25" s="12" t="n">
        <v>4</v>
      </c>
      <c r="D25" s="12" t="inlineStr"/>
    </row>
    <row r="26">
      <c r="A26" s="12" t="inlineStr">
        <is>
          <t>Setmore</t>
        </is>
      </c>
      <c r="B26" s="12" t="n">
        <v>1158</v>
      </c>
      <c r="C26" s="12" t="n">
        <v>1</v>
      </c>
      <c r="D26" s="12" t="inlineStr"/>
    </row>
    <row r="27">
      <c r="A27" s="12" t="inlineStr">
        <is>
          <t>GoDaddy</t>
        </is>
      </c>
      <c r="B27" s="12" t="n">
        <v>56</v>
      </c>
      <c r="C27" s="12" t="n">
        <v>2</v>
      </c>
      <c r="D27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5" customWidth="1" min="3" max="3"/>
    <col width="60" customWidth="1" min="4" max="4"/>
  </cols>
  <sheetData>
    <row r="1">
      <c r="A1" s="1" t="inlineStr">
        <is>
          <t>Why accounts did not convert</t>
        </is>
      </c>
    </row>
    <row r="2">
      <c r="A2" s="16" t="inlineStr">
        <is>
          <t>Mechanical evidence is proven by the funnel. Stated evidence is directional only and cannot be counted per account.</t>
        </is>
      </c>
    </row>
    <row r="4">
      <c r="A4" s="4" t="inlineStr">
        <is>
          <t>MECHANICAL — proven</t>
        </is>
      </c>
    </row>
    <row r="5">
      <c r="A5" s="7" t="inlineStr">
        <is>
          <t>Finding</t>
        </is>
      </c>
      <c r="B5" s="7" t="inlineStr">
        <is>
          <t>Value</t>
        </is>
      </c>
      <c r="C5" s="7" t="inlineStr">
        <is>
          <t>Why it matters</t>
        </is>
      </c>
    </row>
    <row r="6">
      <c r="A6" s="21" t="inlineStr">
        <is>
          <t>Locations that skipped payment setup</t>
        </is>
      </c>
      <c r="B6" s="21">
        <f>SUMPRODUCT(--(Locations!$K$2:$K$445=TRUE))</f>
        <v/>
      </c>
      <c r="C6" s="33" t="inlineStr">
        <is>
          <t>No deposits, no no-show fees. Without payments it is a diary, and a diary loses to the incumbent.</t>
        </is>
      </c>
    </row>
    <row r="7">
      <c r="A7" s="12" t="inlineStr">
        <is>
          <t>Locations that configured payments</t>
        </is>
      </c>
      <c r="B7" s="12">
        <f>SUMPRODUCT(--(Locations!$J$2:$J$445=TRUE))</f>
        <v/>
      </c>
      <c r="C7" s="34" t="inlineStr"/>
    </row>
    <row r="8">
      <c r="A8" s="21" t="inlineStr">
        <is>
          <t>Enabled (flag) but never earned a booking</t>
        </is>
      </c>
      <c r="B8" s="21">
        <f>SUMPRODUCT(--(Locations!$M$2:$M$445=TRUE),--(Locations!$O$2:$O$445=0))</f>
        <v/>
      </c>
      <c r="C8" s="33" t="inlineStr">
        <is>
          <t>Completed every setup step, then nothing. Setup completion is being mistaken for adoption.</t>
        </is>
      </c>
    </row>
    <row r="9">
      <c r="A9" s="12" t="inlineStr">
        <is>
          <t>Operationally live but dormant 30d+</t>
        </is>
      </c>
      <c r="B9" s="12">
        <f>SUMPRODUCT(--(Locations!$X$2:$X$445=TRUE),--(Locations!$W$2:$W$445&lt;Summary!$B$3-30))</f>
        <v/>
      </c>
      <c r="C9" s="34" t="inlineStr">
        <is>
          <t>The core retention problem</t>
        </is>
      </c>
    </row>
    <row r="10">
      <c r="A10" s="12" t="inlineStr">
        <is>
          <t>Locations that imported from a rival</t>
        </is>
      </c>
      <c r="B10" s="12">
        <f>SUMPRODUCT(--(Locations!$U$2:$U$445&lt;&gt;""))</f>
        <v/>
      </c>
      <c r="C10" s="34" t="inlineStr">
        <is>
          <t>Very few actually moved their history across.</t>
        </is>
      </c>
    </row>
    <row r="13">
      <c r="A13" s="4" t="inlineStr">
        <is>
          <t>STATED — topic prevalence across 1,829 scheduling calls, 01/11/25 to 03/08/26</t>
        </is>
      </c>
    </row>
    <row r="14">
      <c r="A14" s="26" t="inlineStr">
        <is>
          <t>Hardcoded. Regex over sales.fireflies_meeting.summary. CAUTION: these calls carry no usable entity_id, so these CANNOT be counted per account. Never present as 'N accounts said X'. Counts are topic prevalence only and were NOT re-audited for the word-boundary defect — treat as indicative.</t>
        </is>
      </c>
    </row>
    <row r="15">
      <c r="A15" s="7" t="inlineStr">
        <is>
          <t>Topic</t>
        </is>
      </c>
      <c r="B15" s="7" t="inlineStr">
        <is>
          <t>Calls</t>
        </is>
      </c>
      <c r="C15" s="7" t="inlineStr">
        <is>
          <t>Share of 1,829</t>
        </is>
      </c>
      <c r="D15" s="7" t="inlineStr">
        <is>
          <t>Comment</t>
        </is>
      </c>
    </row>
    <row r="16">
      <c r="A16" s="12" t="inlineStr">
        <is>
          <t>Deferred / 'not right now'</t>
        </is>
      </c>
      <c r="B16" s="12" t="n">
        <v>441</v>
      </c>
      <c r="C16" s="23">
        <f>B16/1829</f>
        <v/>
      </c>
      <c r="D16" s="12" t="inlineStr"/>
    </row>
    <row r="17">
      <c r="A17" s="12" t="inlineStr">
        <is>
          <t>Migration or data-transfer effort</t>
        </is>
      </c>
      <c r="B17" s="12" t="n">
        <v>247</v>
      </c>
      <c r="C17" s="23">
        <f>B17/1829</f>
        <v/>
      </c>
      <c r="D17" s="12" t="inlineStr"/>
    </row>
    <row r="18">
      <c r="A18" s="12" t="inlineStr">
        <is>
          <t>Payments, deposits, no-show fees</t>
        </is>
      </c>
      <c r="B18" s="12" t="n">
        <v>227</v>
      </c>
      <c r="C18" s="23">
        <f>B18/1829</f>
        <v/>
      </c>
      <c r="D18" s="12" t="inlineStr">
        <is>
          <t>Matches the mechanical finding</t>
        </is>
      </c>
    </row>
    <row r="19">
      <c r="A19" s="12" t="inlineStr">
        <is>
          <t>Contract / lock-in language</t>
        </is>
      </c>
      <c r="B19" s="12" t="n">
        <v>215</v>
      </c>
      <c r="C19" s="23">
        <f>B19/1829</f>
        <v/>
      </c>
      <c r="D19" s="12" t="inlineStr">
        <is>
          <t>Noisy</t>
        </is>
      </c>
    </row>
    <row r="20">
      <c r="A20" s="12" t="inlineStr">
        <is>
          <t>Named an incumbent competitor</t>
        </is>
      </c>
      <c r="B20" s="12" t="n">
        <v>303</v>
      </c>
      <c r="C20" s="23">
        <f>B20/1829</f>
        <v/>
      </c>
      <c r="D20" s="12" t="inlineStr">
        <is>
          <t>The reliable signal</t>
        </is>
      </c>
    </row>
    <row r="21">
      <c r="A21" s="12" t="inlineStr">
        <is>
          <t>Explicit refusal language</t>
        </is>
      </c>
      <c r="B21" s="12" t="n">
        <v>174</v>
      </c>
      <c r="C21" s="23">
        <f>B21/1829</f>
        <v/>
      </c>
      <c r="D21" s="12" t="inlineStr"/>
    </row>
    <row r="22">
      <c r="A22" s="12" t="inlineStr">
        <is>
          <t>Prefers phone / walk-in / manual</t>
        </is>
      </c>
      <c r="B22" s="12" t="n">
        <v>119</v>
      </c>
      <c r="C22" s="23">
        <f>B22/1829</f>
        <v/>
      </c>
      <c r="D22" s="12" t="inlineStr"/>
    </row>
    <row r="23">
      <c r="A23" s="12" t="inlineStr">
        <is>
          <t>Price or budget</t>
        </is>
      </c>
      <c r="B23" s="12" t="n">
        <v>69</v>
      </c>
      <c r="C23" s="23">
        <f>B23/1829</f>
        <v/>
      </c>
      <c r="D23" s="12" t="inlineStr"/>
    </row>
    <row r="24">
      <c r="A24" s="12" t="inlineStr">
        <is>
          <t>Staff resistance or complexity</t>
        </is>
      </c>
      <c r="B24" s="12" t="n">
        <v>42</v>
      </c>
      <c r="C24" s="23">
        <f>B24/1829</f>
        <v/>
      </c>
      <c r="D24" s="12" t="inlineStr"/>
    </row>
    <row r="26">
      <c r="A26" s="26" t="inlineStr">
        <is>
          <t>Incumbents named (validated 04/08/26 with word boundaries): Square 101 in genuine product context — NOT the 269 originally reported, which matched non-product uses of the word. Vagaro 105 and Acuity 26 verified clean (bounded = unbounded). Booksy 46 · Mindbody 39 · Fresha 35 · StyleSeat 11 · GlossGenius 11 · other 43 — not individually re-audited.</t>
        </is>
      </c>
    </row>
    <row r="28">
      <c r="A28" s="4" t="inlineStr">
        <is>
          <t>VERIFIED BY READING CALL EXCERPTS BY HAND</t>
        </is>
      </c>
    </row>
    <row r="29" ht="28" customHeight="1">
      <c r="A29" s="3" t="inlineStr">
        <is>
          <t>• Feature gaps keep the old system alive — staff revenue and commission reporting, clock-in/out, staff permission levels, calendar column-per-staff view, selective client blocking, package and membership migration, intake forms.</t>
        </is>
      </c>
    </row>
    <row r="30" ht="28" customHeight="1">
      <c r="A30" s="3" t="inlineStr">
        <is>
          <t>• Payment processor economics — Stripe rates raised as a negotiation point rather than accepted.</t>
        </is>
      </c>
    </row>
    <row r="31" ht="28" customHeight="1">
      <c r="A31" s="3" t="inlineStr">
        <is>
          <t>• Base subscription price — $149/month cited as unaffordable by an account under budget freeze; a whole-platform objection, not a scheduling one.</t>
        </is>
      </c>
    </row>
    <row r="32" ht="28" customHeight="1">
      <c r="A32" s="3" t="inlineStr">
        <is>
          <t>• Rollback on confusion — at least one account asked for the booking system to be revoked 'to reduce confusion and inefficiency' after enabling it.</t>
        </is>
      </c>
    </row>
    <row r="33" ht="28" customHeight="1">
      <c r="A33" s="3" t="inlineStr">
        <is>
          <t>• Free is the wedge that works — where the pitch replaces a paid incumbent at no cost, it lands.</t>
        </is>
      </c>
    </row>
  </sheetData>
  <mergeCells count="5">
    <mergeCell ref="A31:D31"/>
    <mergeCell ref="A30:D30"/>
    <mergeCell ref="A29:D29"/>
    <mergeCell ref="A33:D33"/>
    <mergeCell ref="A32:D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62" customWidth="1" min="3" max="3"/>
    <col width="50" customWidth="1" min="4" max="4"/>
  </cols>
  <sheetData>
    <row r="1">
      <c r="A1" s="1" t="inlineStr">
        <is>
          <t>Data quality — defects in the source data itself</t>
        </is>
      </c>
    </row>
    <row r="2">
      <c r="A2" s="26" t="inlineStr">
        <is>
          <t>Read this before trusting any booking count, here or anywhere else in Zoca reporting.</t>
        </is>
      </c>
    </row>
    <row r="4">
      <c r="A4" s="7" t="inlineStr">
        <is>
          <t>Defect</t>
        </is>
      </c>
      <c r="B4" s="7" t="inlineStr">
        <is>
          <t>Scale</t>
        </is>
      </c>
      <c r="C4" s="7" t="inlineStr">
        <is>
          <t>Consequence</t>
        </is>
      </c>
      <c r="D4" s="7" t="inlineStr">
        <is>
          <t>Handling in v2</t>
        </is>
      </c>
    </row>
    <row r="5" ht="46" customHeight="1">
      <c r="A5" s="34" t="inlineStr">
        <is>
          <t>Imported history carries no migration_source tag</t>
        </is>
      </c>
      <c r="B5" s="12">
        <f>SUM(Locations!$R$2:$R$445)</f>
        <v/>
      </c>
      <c r="C5" s="34" t="inlineStr">
        <is>
          <t>33 entities' pre-launch bookings look organic. v1 counted them as earned and overstated volume ~2.4x.</t>
        </is>
      </c>
      <c r="D5" s="34" t="inlineStr">
        <is>
          <t>Excluded: earned bookings require created_at &gt;= 30/01/26</t>
        </is>
      </c>
    </row>
    <row r="6" ht="46" customHeight="1">
      <c r="A6" s="34" t="inlineStr">
        <is>
          <t>Future-dated created_at values</t>
        </is>
      </c>
      <c r="B6" s="12">
        <f>SUM(Locations!$T$2:$T$445)</f>
        <v/>
      </c>
      <c r="C6" s="34" t="inlineStr">
        <is>
          <t>Bookings created in 2027. They automatically satisfy any 'last 30 days' test.</t>
        </is>
      </c>
      <c r="D6" s="34" t="inlineStr">
        <is>
          <t>Excluded: earned bookings require created_at &lt;= as-of</t>
        </is>
      </c>
    </row>
    <row r="7" ht="46" customHeight="1">
      <c r="A7" s="34" t="inlineStr">
        <is>
          <t>is_scheduling_enabled is unreliable</t>
        </is>
      </c>
      <c r="B7" s="12">
        <f>SUMPRODUCT(--(Locations!$M$2:$M$445=FALSE),--(Locations!$O$2:$O$445&gt;0))</f>
        <v/>
      </c>
      <c r="C7" s="34" t="inlineStr">
        <is>
          <t>Locations take real bookings while flagged FALSE (all also show onboarding_completed FALSE).</t>
        </is>
      </c>
      <c r="D7" s="34" t="inlineStr">
        <is>
          <t>Reported separately as 'Operationally live'</t>
        </is>
      </c>
    </row>
    <row r="8" ht="46" customHeight="1">
      <c r="A8" s="34" t="inlineStr">
        <is>
          <t>Duplicate Chargebee customer records</t>
        </is>
      </c>
      <c r="B8" s="12" t="inlineStr">
        <is>
          <t>89</t>
        </is>
      </c>
      <c r="C8" s="34" t="inlineStr">
        <is>
          <t>2,026 records hold 1,799 distinct emails. Counting customer_id over-counts businesses.</t>
        </is>
      </c>
      <c r="D8" s="34" t="inlineStr">
        <is>
          <t>All account counts resolve to entity_id first</t>
        </is>
      </c>
    </row>
    <row r="9" ht="46" customHeight="1">
      <c r="A9" s="34" t="inlineStr">
        <is>
          <t>scheduling.onboarding has two entity ids</t>
        </is>
      </c>
      <c r="B9" s="12" t="inlineStr">
        <is>
          <t>—</t>
        </is>
      </c>
      <c r="C9" s="34" t="inlineStr">
        <is>
          <t>entity_id = parent business (joins entities.businesses); location_entity_id = the location (joins bookings, Chargebee, GBP). Joining on the wrong one returns zero rows and no error.</t>
        </is>
      </c>
      <c r="D9" s="34" t="inlineStr">
        <is>
          <t>location_entity_id used throughout</t>
        </is>
      </c>
    </row>
    <row r="10" ht="46" customHeight="1">
      <c r="A10" s="34" t="inlineStr">
        <is>
          <t>Fireflies entity_id is 1.9% populated</t>
        </is>
      </c>
      <c r="B10" s="12" t="inlineStr">
        <is>
          <t>—</t>
        </is>
      </c>
      <c r="C10" s="34" t="inlineStr">
        <is>
          <t>Calls cannot be joined to accounts directly.</t>
        </is>
      </c>
      <c r="D10" s="34" t="inlineStr">
        <is>
          <t>Attribution via participants email → chargebee.customers.email</t>
        </is>
      </c>
    </row>
    <row r="11" ht="46" customHeight="1">
      <c r="A11" s="34" t="inlineStr">
        <is>
          <t>cx.open_issues / cx.churn_potential stopped writing 14/01/26</t>
        </is>
      </c>
      <c r="B11" s="12" t="inlineStr">
        <is>
          <t>—</t>
        </is>
      </c>
      <c r="C11" s="34" t="inlineStr">
        <is>
          <t>Two account-health tables went dark two weeks before scheduling launched, so there is no qualitative feed for the rollout period.</t>
        </is>
      </c>
      <c r="D11" s="34" t="inlineStr">
        <is>
          <t>Not used; flagged for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2026-08-03T18:05:11Z</dcterms:created>
  <dcterms:modified xmlns:dcterms="http://purl.org/dc/terms/" xmlns:xsi="http://www.w3.org/2001/XMLSchema-instance" xsi:type="dcterms:W3CDTF">2026-08-03T19:35:54Z</dcterms:modified>
</cp:coreProperties>
</file>