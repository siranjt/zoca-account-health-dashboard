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July Pitch Funnel" sheetId="3" state="visible" r:id="rId3"/>
    <sheet xmlns:r="http://schemas.openxmlformats.org/officeDocument/2006/relationships" name="Pitched Accounts" sheetId="4" state="visible" r:id="rId4"/>
    <sheet xmlns:r="http://schemas.openxmlformats.org/officeDocument/2006/relationships" name="Adoption Funnel" sheetId="5" state="visible" r:id="rId5"/>
    <sheet xmlns:r="http://schemas.openxmlformats.org/officeDocument/2006/relationships" name="Locations" sheetId="6" state="visible" r:id="rId6"/>
    <sheet xmlns:r="http://schemas.openxmlformats.org/officeDocument/2006/relationships" name="Cohort Retention" sheetId="7" state="visible" r:id="rId7"/>
    <sheet xmlns:r="http://schemas.openxmlformats.org/officeDocument/2006/relationships" name="Bookings and Revenue" sheetId="8" state="visible" r:id="rId8"/>
    <sheet xmlns:r="http://schemas.openxmlformats.org/officeDocument/2006/relationships" name="Objection Themes" sheetId="9" state="visible" r:id="rId9"/>
    <sheet xmlns:r="http://schemas.openxmlformats.org/officeDocument/2006/relationships" name="Instrumentation Ga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DD/MM/YY"/>
    <numFmt numFmtId="166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i val="1"/>
      <color rgb="00C00000"/>
      <sz val="9"/>
    </font>
    <font>
      <name val="Arial"/>
      <color rgb="000563C1"/>
      <sz val="10"/>
      <u val="single"/>
    </font>
    <font>
      <name val="Arial"/>
      <i val="1"/>
      <color rgb="00A6A6A6"/>
      <sz val="10"/>
    </font>
    <font>
      <name val="Arial"/>
      <b val="1"/>
      <color rgb="00FFFFFF"/>
      <sz val="12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9E2F3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5" fontId="5" fillId="2" borderId="0" pivotButton="0" quotePrefix="0" xfId="0"/>
    <xf numFmtId="0" fontId="6" fillId="0" borderId="0" pivotButton="0" quotePrefix="0" xfId="0"/>
    <xf numFmtId="0" fontId="3" fillId="5" borderId="1" pivotButton="0" quotePrefix="0" xfId="0"/>
    <xf numFmtId="0" fontId="2" fillId="2" borderId="1" pivotButton="0" quotePrefix="0" xfId="0"/>
    <xf numFmtId="166" fontId="2" fillId="2" borderId="1" pivotButton="0" quotePrefix="0" xfId="0"/>
    <xf numFmtId="164" fontId="2" fillId="2" borderId="1" pivotButton="0" quotePrefix="0" xfId="0"/>
    <xf numFmtId="0" fontId="3" fillId="2" borderId="1" pivotButton="0" quotePrefix="0" xfId="0"/>
    <xf numFmtId="166" fontId="2" fillId="0" borderId="1" pivotButton="0" quotePrefix="0" xfId="0"/>
    <xf numFmtId="166" fontId="3" fillId="2" borderId="1" pivotButton="0" quotePrefix="0" xfId="0"/>
    <xf numFmtId="165" fontId="2" fillId="4" borderId="1" pivotButton="0" quotePrefix="0" xfId="0"/>
    <xf numFmtId="165" fontId="2" fillId="0" borderId="1" pivotButton="0" quotePrefix="0" xfId="0"/>
    <xf numFmtId="0" fontId="3" fillId="0" borderId="1" pivotButton="0" quotePrefix="0" xfId="0"/>
    <xf numFmtId="166" fontId="3" fillId="0" borderId="1" pivotButton="0" quotePrefix="0" xfId="0"/>
    <xf numFmtId="0" fontId="2" fillId="0" borderId="1" applyAlignment="1" pivotButton="0" quotePrefix="0" xfId="0">
      <alignment vertical="top" wrapText="1"/>
    </xf>
    <xf numFmtId="164" fontId="7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9" fillId="4" borderId="1" pivotButton="0" quotePrefix="0" xfId="0"/>
    <xf numFmtId="0" fontId="2" fillId="2" borderId="0" applyAlignment="1" pivotButton="0" quotePrefix="0" xfId="0">
      <alignment vertical="top" wrapText="1"/>
    </xf>
    <xf numFmtId="0" fontId="10" fillId="6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pp.fireflies.ai/view/01KWCTTN3RNN15K1BER97NS33X" TargetMode="External" Id="rId1"/><Relationship Type="http://schemas.openxmlformats.org/officeDocument/2006/relationships/hyperlink" Target="https://app.fireflies.ai/view/01KWETFRAE7VJAPRPBD4TPFH83" TargetMode="External" Id="rId2"/><Relationship Type="http://schemas.openxmlformats.org/officeDocument/2006/relationships/hyperlink" Target="https://app.fireflies.ai/view/01KWAJMPQTHXK62CHES8MP5MFS" TargetMode="External" Id="rId3"/><Relationship Type="http://schemas.openxmlformats.org/officeDocument/2006/relationships/hyperlink" Target="https://app.fireflies.ai/view/01KWAK2D8NJRQNAVVCQV5PT97F" TargetMode="External" Id="rId4"/><Relationship Type="http://schemas.openxmlformats.org/officeDocument/2006/relationships/hyperlink" Target="https://app.fireflies.ai/view/01KWD6Z9869YYFXXGBXEJPVFTJ" TargetMode="External" Id="rId5"/><Relationship Type="http://schemas.openxmlformats.org/officeDocument/2006/relationships/hyperlink" Target="https://app.fireflies.ai/view/01KWFSZ5SJH6JF865SN7FNQ472" TargetMode="External" Id="rId6"/><Relationship Type="http://schemas.openxmlformats.org/officeDocument/2006/relationships/hyperlink" Target="https://app.fireflies.ai/view/01KWFEQ7KEX8RW3D76HKM9RHY2" TargetMode="External" Id="rId7"/><Relationship Type="http://schemas.openxmlformats.org/officeDocument/2006/relationships/hyperlink" Target="https://app.fireflies.ai/view/01KWFY893YVKTQZP6890KFVA1M" TargetMode="External" Id="rId8"/><Relationship Type="http://schemas.openxmlformats.org/officeDocument/2006/relationships/hyperlink" Target="https://app.fireflies.ai/view/01KWJ6XA7E2C0TPBT5HX5PDWXZ" TargetMode="External" Id="rId9"/><Relationship Type="http://schemas.openxmlformats.org/officeDocument/2006/relationships/hyperlink" Target="https://app.fireflies.ai/view/01KWGBVKBD29P2Q5B1D56XQXA8" TargetMode="External" Id="rId10"/><Relationship Type="http://schemas.openxmlformats.org/officeDocument/2006/relationships/hyperlink" Target="https://app.fireflies.ai/view/01KWMMM9YF2D3M244HJ4442SBS" TargetMode="External" Id="rId11"/><Relationship Type="http://schemas.openxmlformats.org/officeDocument/2006/relationships/hyperlink" Target="https://app.fireflies.ai/view/01KWMR7GGCP9H5BK5XA8171XVT" TargetMode="External" Id="rId12"/><Relationship Type="http://schemas.openxmlformats.org/officeDocument/2006/relationships/hyperlink" Target="https://app.fireflies.ai/view/01KWVPTCMXKB5J9ZD0K6VW5GG7" TargetMode="External" Id="rId13"/><Relationship Type="http://schemas.openxmlformats.org/officeDocument/2006/relationships/hyperlink" Target="https://app.fireflies.ai/view/01KWW3XDSQFPYC39AHE7X1QYEK" TargetMode="External" Id="rId14"/><Relationship Type="http://schemas.openxmlformats.org/officeDocument/2006/relationships/hyperlink" Target="https://app.fireflies.ai/view/01KWZ35QJGW8H8Y89FW82ARM9C" TargetMode="External" Id="rId15"/><Relationship Type="http://schemas.openxmlformats.org/officeDocument/2006/relationships/hyperlink" Target="https://app.fireflies.ai/view/01KWW3B796KPZEWZBRJE2D374M" TargetMode="External" Id="rId16"/><Relationship Type="http://schemas.openxmlformats.org/officeDocument/2006/relationships/hyperlink" Target="https://app.fireflies.ai/view/01KWSEMR4B4B1B2JXMJWKSTFVM" TargetMode="External" Id="rId17"/><Relationship Type="http://schemas.openxmlformats.org/officeDocument/2006/relationships/hyperlink" Target="https://app.fireflies.ai/view/01KWYDAQMWGWG0KAQN11KWANJQ" TargetMode="External" Id="rId18"/><Relationship Type="http://schemas.openxmlformats.org/officeDocument/2006/relationships/hyperlink" Target="https://app.fireflies.ai/view/01KWSP6FJGJ1SM0G3G1AJCRD26" TargetMode="External" Id="rId19"/><Relationship Type="http://schemas.openxmlformats.org/officeDocument/2006/relationships/hyperlink" Target="https://app.fireflies.ai/view/01KWX09A38MTKGHMKEQA20FXKT" TargetMode="External" Id="rId20"/><Relationship Type="http://schemas.openxmlformats.org/officeDocument/2006/relationships/hyperlink" Target="https://app.fireflies.ai/view/01KWYZ11PSSAV6FVBDCZHKE3QA" TargetMode="External" Id="rId21"/><Relationship Type="http://schemas.openxmlformats.org/officeDocument/2006/relationships/hyperlink" Target="https://app.fireflies.ai/view/01KWY3H2GSW906CGXTJ5XJCQ9E" TargetMode="External" Id="rId22"/><Relationship Type="http://schemas.openxmlformats.org/officeDocument/2006/relationships/hyperlink" Target="https://app.fireflies.ai/view/01KWWETADJJ1REW0AQYSWQ3DTZ" TargetMode="External" Id="rId23"/><Relationship Type="http://schemas.openxmlformats.org/officeDocument/2006/relationships/hyperlink" Target="https://app.fireflies.ai/view/01KWZ6ZG7DNJWDF79P4PJ1DNPF" TargetMode="External" Id="rId24"/><Relationship Type="http://schemas.openxmlformats.org/officeDocument/2006/relationships/hyperlink" Target="https://app.fireflies.ai/view/01KWYCRBSZK2MKY8K7EFYNQZ8D" TargetMode="External" Id="rId25"/><Relationship Type="http://schemas.openxmlformats.org/officeDocument/2006/relationships/hyperlink" Target="https://app.fireflies.ai/view/01KWJJKZN0M986T9CR1CM0ZPK8" TargetMode="External" Id="rId26"/><Relationship Type="http://schemas.openxmlformats.org/officeDocument/2006/relationships/hyperlink" Target="https://app.fireflies.ai/view/01KWZ6G71XX95MZGN242RTERVN" TargetMode="External" Id="rId27"/><Relationship Type="http://schemas.openxmlformats.org/officeDocument/2006/relationships/hyperlink" Target="https://app.fireflies.ai/view/01KX9HGY3F1FE7NV3FB7Q8GK4W" TargetMode="External" Id="rId28"/><Relationship Type="http://schemas.openxmlformats.org/officeDocument/2006/relationships/hyperlink" Target="https://app.fireflies.ai/view/01KWZEF6KNDECHX8JBN2330AQQ" TargetMode="External" Id="rId29"/><Relationship Type="http://schemas.openxmlformats.org/officeDocument/2006/relationships/hyperlink" Target="https://app.fireflies.ai/view/01KXP62QZ2DFHTGSVBVD5HGBVN" TargetMode="External" Id="rId30"/><Relationship Type="http://schemas.openxmlformats.org/officeDocument/2006/relationships/hyperlink" Target="https://app.fireflies.ai/view/01KWZ3XX5D6RBMQN94T3P4N832" TargetMode="External" Id="rId31"/><Relationship Type="http://schemas.openxmlformats.org/officeDocument/2006/relationships/hyperlink" Target="https://app.fireflies.ai/view/01KX1QWKXAS1D9QE9CC0YHWJMG" TargetMode="External" Id="rId32"/><Relationship Type="http://schemas.openxmlformats.org/officeDocument/2006/relationships/hyperlink" Target="https://app.fireflies.ai/view/01KWYGY66G975WRPTF35JM4F0J" TargetMode="External" Id="rId33"/><Relationship Type="http://schemas.openxmlformats.org/officeDocument/2006/relationships/hyperlink" Target="https://app.fireflies.ai/view/01KX1P0KMHT8PXYDYJN8B91EK6" TargetMode="External" Id="rId34"/><Relationship Type="http://schemas.openxmlformats.org/officeDocument/2006/relationships/hyperlink" Target="https://app.fireflies.ai/view/01KY2X84QR7631VMNWQE4JJ677" TargetMode="External" Id="rId35"/><Relationship Type="http://schemas.openxmlformats.org/officeDocument/2006/relationships/hyperlink" Target="https://app.fireflies.ai/view/01KX1MYVNPSDVG0504QQGNA4FF" TargetMode="External" Id="rId36"/><Relationship Type="http://schemas.openxmlformats.org/officeDocument/2006/relationships/hyperlink" Target="https://app.fireflies.ai/view/01KX1GXHW53G6MG3VPXG0F17F1" TargetMode="External" Id="rId37"/><Relationship Type="http://schemas.openxmlformats.org/officeDocument/2006/relationships/hyperlink" Target="https://app.fireflies.ai/view/01KX1N1WV3YSCGP67PD9VGCHP1" TargetMode="External" Id="rId38"/><Relationship Type="http://schemas.openxmlformats.org/officeDocument/2006/relationships/hyperlink" Target="https://app.fireflies.ai/view/01KX42WR0JNHF67HSWDCN9BMJF" TargetMode="External" Id="rId39"/><Relationship Type="http://schemas.openxmlformats.org/officeDocument/2006/relationships/hyperlink" Target="https://app.fireflies.ai/view/01KX1NNCN6BWZKCHFX2QHP6VNY" TargetMode="External" Id="rId40"/><Relationship Type="http://schemas.openxmlformats.org/officeDocument/2006/relationships/hyperlink" Target="https://app.fireflies.ai/view/01KX3YRPZJN7A1YY74F79E7Z2W" TargetMode="External" Id="rId41"/><Relationship Type="http://schemas.openxmlformats.org/officeDocument/2006/relationships/hyperlink" Target="https://app.fireflies.ai/view/01KX0WYX7QVVZVVPRQK03ZFYHD" TargetMode="External" Id="rId42"/><Relationship Type="http://schemas.openxmlformats.org/officeDocument/2006/relationships/hyperlink" Target="https://app.fireflies.ai/view/01KX21DRDZ9A127H3AJ0BRMP37" TargetMode="External" Id="rId43"/><Relationship Type="http://schemas.openxmlformats.org/officeDocument/2006/relationships/hyperlink" Target="https://app.fireflies.ai/view/01KX4AY5G52TNSN7AMQF10NBK6" TargetMode="External" Id="rId44"/><Relationship Type="http://schemas.openxmlformats.org/officeDocument/2006/relationships/hyperlink" Target="https://app.fireflies.ai/view/01KWYWR8HWYECQMSHYH1J8SNRH" TargetMode="External" Id="rId45"/><Relationship Type="http://schemas.openxmlformats.org/officeDocument/2006/relationships/hyperlink" Target="https://app.fireflies.ai/view/01KY4ZFTD0HH7YD8TJH4NNH921" TargetMode="External" Id="rId46"/><Relationship Type="http://schemas.openxmlformats.org/officeDocument/2006/relationships/hyperlink" Target="https://app.fireflies.ai/view/01KX3V5DZ21XR19H4QXD54GR7E" TargetMode="External" Id="rId47"/><Relationship Type="http://schemas.openxmlformats.org/officeDocument/2006/relationships/hyperlink" Target="https://app.fireflies.ai/view/01KX6BWWEVBTHHPJK9HBN7V6MK" TargetMode="External" Id="rId48"/><Relationship Type="http://schemas.openxmlformats.org/officeDocument/2006/relationships/hyperlink" Target="https://app.fireflies.ai/view/01KX8WX62F892J8HNR761HZD22" TargetMode="External" Id="rId49"/><Relationship Type="http://schemas.openxmlformats.org/officeDocument/2006/relationships/hyperlink" Target="https://app.fireflies.ai/view/01KX46673MAHYR8S3PRRM14MTM" TargetMode="External" Id="rId50"/><Relationship Type="http://schemas.openxmlformats.org/officeDocument/2006/relationships/hyperlink" Target="https://app.fireflies.ai/view/01KX1TW7J9955SAGPGZMNKP1XC" TargetMode="External" Id="rId51"/><Relationship Type="http://schemas.openxmlformats.org/officeDocument/2006/relationships/hyperlink" Target="https://app.fireflies.ai/view/01KX94JHP63JFZFR3415Z7NRPW" TargetMode="External" Id="rId52"/><Relationship Type="http://schemas.openxmlformats.org/officeDocument/2006/relationships/hyperlink" Target="https://app.fireflies.ai/view/01KX9A7QKG7A6146MM396ZQVT0" TargetMode="External" Id="rId53"/><Relationship Type="http://schemas.openxmlformats.org/officeDocument/2006/relationships/hyperlink" Target="https://app.fireflies.ai/view/01KX9S5MFT763B3AKPBAYQ6N07" TargetMode="External" Id="rId54"/><Relationship Type="http://schemas.openxmlformats.org/officeDocument/2006/relationships/hyperlink" Target="https://app.fireflies.ai/view/01KX9YTWDBV98JQ3G7805P12DJ" TargetMode="External" Id="rId55"/><Relationship Type="http://schemas.openxmlformats.org/officeDocument/2006/relationships/hyperlink" Target="https://app.fireflies.ai/view/01KXE66VDG2696QEYJGVJSFDAH" TargetMode="External" Id="rId56"/><Relationship Type="http://schemas.openxmlformats.org/officeDocument/2006/relationships/hyperlink" Target="https://app.fireflies.ai/view/01KX9S5MJN9PP3F8C02WHE9CBB" TargetMode="External" Id="rId57"/><Relationship Type="http://schemas.openxmlformats.org/officeDocument/2006/relationships/hyperlink" Target="https://app.fireflies.ai/view/01KX4BBY9MV0M2MJ1VJ90QKBHA" TargetMode="External" Id="rId58"/><Relationship Type="http://schemas.openxmlformats.org/officeDocument/2006/relationships/hyperlink" Target="https://app.fireflies.ai/view/01KXGCTRYCB29GK1PZJVKATF9P" TargetMode="External" Id="rId59"/><Relationship Type="http://schemas.openxmlformats.org/officeDocument/2006/relationships/hyperlink" Target="https://app.fireflies.ai/view/01KXE5ZEWZX26ECQT43WKQ4VMY" TargetMode="External" Id="rId60"/><Relationship Type="http://schemas.openxmlformats.org/officeDocument/2006/relationships/hyperlink" Target="https://app.fireflies.ai/view/01KXF2JV34XDWK8PT436MZ1X5N" TargetMode="External" Id="rId61"/><Relationship Type="http://schemas.openxmlformats.org/officeDocument/2006/relationships/hyperlink" Target="https://app.fireflies.ai/view/01KXEJAWSX2XGK0W8ZZ1VDEP1N" TargetMode="External" Id="rId62"/><Relationship Type="http://schemas.openxmlformats.org/officeDocument/2006/relationships/hyperlink" Target="https://app.fireflies.ai/view/01KXEEYWG04BVERWEGMXP7712W" TargetMode="External" Id="rId63"/><Relationship Type="http://schemas.openxmlformats.org/officeDocument/2006/relationships/hyperlink" Target="https://app.fireflies.ai/view/01KXHHGQGF5FG2VJAR7QCEPNFZ" TargetMode="External" Id="rId64"/><Relationship Type="http://schemas.openxmlformats.org/officeDocument/2006/relationships/hyperlink" Target="https://app.fireflies.ai/view/01KXK1MEGAC73ZKX55T6TP5QR8" TargetMode="External" Id="rId65"/><Relationship Type="http://schemas.openxmlformats.org/officeDocument/2006/relationships/hyperlink" Target="https://app.fireflies.ai/view/01KXEF15P3FR4ZKH42455BJSR8" TargetMode="External" Id="rId66"/><Relationship Type="http://schemas.openxmlformats.org/officeDocument/2006/relationships/hyperlink" Target="https://app.fireflies.ai/view/01KXKQHD1QPRY1EX79ZTCTZNKD" TargetMode="External" Id="rId67"/><Relationship Type="http://schemas.openxmlformats.org/officeDocument/2006/relationships/hyperlink" Target="https://app.fireflies.ai/view/01KXKDRMNFPPA5559E2YX0T38M" TargetMode="External" Id="rId68"/><Relationship Type="http://schemas.openxmlformats.org/officeDocument/2006/relationships/hyperlink" Target="https://app.fireflies.ai/view/01KXKWZCNSBZG71BYJBHZ06H8K" TargetMode="External" Id="rId69"/><Relationship Type="http://schemas.openxmlformats.org/officeDocument/2006/relationships/hyperlink" Target="https://app.fireflies.ai/view/01KXK1QEKDY8T4A2DMMTH7N9V9" TargetMode="External" Id="rId70"/><Relationship Type="http://schemas.openxmlformats.org/officeDocument/2006/relationships/hyperlink" Target="https://app.fireflies.ai/view/01KXKCVC20YTKB0TKZTV3QYNH9" TargetMode="External" Id="rId71"/><Relationship Type="http://schemas.openxmlformats.org/officeDocument/2006/relationships/hyperlink" Target="https://app.fireflies.ai/view/01KXR8PNBPYKQBEXA4M0TG0KNX" TargetMode="External" Id="rId72"/><Relationship Type="http://schemas.openxmlformats.org/officeDocument/2006/relationships/hyperlink" Target="https://app.fireflies.ai/view/01KY5W2XCDD1NFTJF9S3QY2CBB" TargetMode="External" Id="rId73"/><Relationship Type="http://schemas.openxmlformats.org/officeDocument/2006/relationships/hyperlink" Target="https://app.fireflies.ai/view/01KXPEXVJ30Q3YMN5NGQ9SW9EM" TargetMode="External" Id="rId74"/><Relationship Type="http://schemas.openxmlformats.org/officeDocument/2006/relationships/hyperlink" Target="https://app.fireflies.ai/view/01KXKAATCTNXTJJZQ1EHDMHVQQ" TargetMode="External" Id="rId75"/><Relationship Type="http://schemas.openxmlformats.org/officeDocument/2006/relationships/hyperlink" Target="https://app.fireflies.ai/view/01KXK27KM5XN56T9SVKJYXV2NW" TargetMode="External" Id="rId76"/><Relationship Type="http://schemas.openxmlformats.org/officeDocument/2006/relationships/hyperlink" Target="https://app.fireflies.ai/view/01KXV5W2QX9H2GGWF4KMESMY35" TargetMode="External" Id="rId77"/><Relationship Type="http://schemas.openxmlformats.org/officeDocument/2006/relationships/hyperlink" Target="https://app.fireflies.ai/view/01KY017VA0AV9QKFJKSK8SR1ZG" TargetMode="External" Id="rId78"/><Relationship Type="http://schemas.openxmlformats.org/officeDocument/2006/relationships/hyperlink" Target="https://app.fireflies.ai/view/01KXVJD9T9YV9F2QDF0BPEQE7G" TargetMode="External" Id="rId79"/><Relationship Type="http://schemas.openxmlformats.org/officeDocument/2006/relationships/hyperlink" Target="https://app.fireflies.ai/view/01KXVMDBQRSR399KE16S0593YF" TargetMode="External" Id="rId80"/><Relationship Type="http://schemas.openxmlformats.org/officeDocument/2006/relationships/hyperlink" Target="https://app.fireflies.ai/view/01KXZM3TGYW0TR1ZP5MPT9PER6" TargetMode="External" Id="rId81"/><Relationship Type="http://schemas.openxmlformats.org/officeDocument/2006/relationships/hyperlink" Target="https://app.fireflies.ai/view/01KXVMDBS01BQ70YFYHYYS4F5V" TargetMode="External" Id="rId82"/><Relationship Type="http://schemas.openxmlformats.org/officeDocument/2006/relationships/hyperlink" Target="https://app.fireflies.ai/view/01KY524PF40BRCE5MXDRG4FYMQ" TargetMode="External" Id="rId83"/><Relationship Type="http://schemas.openxmlformats.org/officeDocument/2006/relationships/hyperlink" Target="https://app.fireflies.ai/view/01KY5SNDQ6XKCR7WC1YM620DAC" TargetMode="External" Id="rId84"/><Relationship Type="http://schemas.openxmlformats.org/officeDocument/2006/relationships/hyperlink" Target="https://app.fireflies.ai/view/01KY609WZH5YN9ES8T5A2DM16A" TargetMode="External" Id="rId85"/><Relationship Type="http://schemas.openxmlformats.org/officeDocument/2006/relationships/hyperlink" Target="https://app.fireflies.ai/view/01KY37FFZHAB372Q59SQHCTB80" TargetMode="External" Id="rId86"/><Relationship Type="http://schemas.openxmlformats.org/officeDocument/2006/relationships/hyperlink" Target="https://app.fireflies.ai/view/01KY8A9JQ93R3BAVMGQJPK2T68" TargetMode="External" Id="rId87"/><Relationship Type="http://schemas.openxmlformats.org/officeDocument/2006/relationships/hyperlink" Target="https://app.fireflies.ai/view/01KYAG0AA12NBM57SVBF8XEN18" TargetMode="External" Id="rId88"/><Relationship Type="http://schemas.openxmlformats.org/officeDocument/2006/relationships/hyperlink" Target="https://app.fireflies.ai/view/01KYAP8ZXDMFASM46783R08KX5" TargetMode="External" Id="rId89"/><Relationship Type="http://schemas.openxmlformats.org/officeDocument/2006/relationships/hyperlink" Target="https://app.fireflies.ai/view/01KY82B5DVRBEV0H6XTDX4GNPB" TargetMode="External" Id="rId90"/><Relationship Type="http://schemas.openxmlformats.org/officeDocument/2006/relationships/hyperlink" Target="https://app.fireflies.ai/view/01KYAP8ZXGZ4B8BEJ6A9GT08PM" TargetMode="External" Id="rId91"/><Relationship Type="http://schemas.openxmlformats.org/officeDocument/2006/relationships/hyperlink" Target="https://app.fireflies.ai/view/01KYA73PFQN6MWTK8AGXV97KG1" TargetMode="External" Id="rId92"/><Relationship Type="http://schemas.openxmlformats.org/officeDocument/2006/relationships/hyperlink" Target="https://app.fireflies.ai/view/01KYJ1Y52ZQTNJT7SJQBVKRR3D" TargetMode="External" Id="rId93"/><Relationship Type="http://schemas.openxmlformats.org/officeDocument/2006/relationships/hyperlink" Target="https://app.fireflies.ai/view/01KYFZ29BFNNGKDNWBJB49ZHA3" TargetMode="External" Id="rId94"/><Relationship Type="http://schemas.openxmlformats.org/officeDocument/2006/relationships/hyperlink" Target="https://app.fireflies.ai/view/01KY5VZ3CHSJ0223AAPJX283JW" TargetMode="External" Id="rId95"/><Relationship Type="http://schemas.openxmlformats.org/officeDocument/2006/relationships/hyperlink" Target="https://app.fireflies.ai/view/01KYJ4W4BN3KWRZDP9XMZ03WC0" TargetMode="External" Id="rId96"/><Relationship Type="http://schemas.openxmlformats.org/officeDocument/2006/relationships/hyperlink" Target="https://app.fireflies.ai/view/01KYA4VTBVEK720JK1FR1MTADR" TargetMode="External" Id="rId97"/><Relationship Type="http://schemas.openxmlformats.org/officeDocument/2006/relationships/hyperlink" Target="https://app.fireflies.ai/view/01KYJGRNFRFZ35PCYJSS2RT4GY" TargetMode="External" Id="rId98"/><Relationship Type="http://schemas.openxmlformats.org/officeDocument/2006/relationships/hyperlink" Target="https://app.fireflies.ai/view/01KYJJ5N11KD7ASZ8KFFHQVWC6" TargetMode="External" Id="rId99"/><Relationship Type="http://schemas.openxmlformats.org/officeDocument/2006/relationships/hyperlink" Target="https://app.fireflies.ai/view/01KYJH6BM81V7B55ZR3JH7QMGW" TargetMode="External" Id="rId100"/><Relationship Type="http://schemas.openxmlformats.org/officeDocument/2006/relationships/hyperlink" Target="https://app.fireflies.ai/view/01KYJRN9132V91XPZG9TAGSBVF" TargetMode="External" Id="rId101"/><Relationship Type="http://schemas.openxmlformats.org/officeDocument/2006/relationships/hyperlink" Target="https://app.fireflies.ai/view/01KYN5M23P2M3X15M8TK66V1YD" TargetMode="External" Id="rId102"/><Relationship Type="http://schemas.openxmlformats.org/officeDocument/2006/relationships/hyperlink" Target="https://app.fireflies.ai/view/01KYQ4395RE1R9VQPWVE4MK5FM" TargetMode="External" Id="rId103"/><Relationship Type="http://schemas.openxmlformats.org/officeDocument/2006/relationships/hyperlink" Target="https://app.fireflies.ai/view/01KYJDJFMEBA8AWBF2NS5FZPG5" TargetMode="External" Id="rId104"/><Relationship Type="http://schemas.openxmlformats.org/officeDocument/2006/relationships/hyperlink" Target="https://app.fireflies.ai/view/01KYQSXXB9CR2APZN6DJZ2F1SD" TargetMode="External" Id="rId105"/><Relationship Type="http://schemas.openxmlformats.org/officeDocument/2006/relationships/hyperlink" Target="https://app.fireflies.ai/view/01KYN58Z4CQ3X4BWF1BPN23N6R" TargetMode="External" Id="rId106"/><Relationship Type="http://schemas.openxmlformats.org/officeDocument/2006/relationships/hyperlink" Target="https://app.fireflies.ai/view/01KYQFXSG5PGRD98F6K1998XXR" TargetMode="External" Id="rId107"/><Relationship Type="http://schemas.openxmlformats.org/officeDocument/2006/relationships/hyperlink" Target="https://app.fireflies.ai/view/01KYMHWX0TDAAAJN8GJ3GQ22H1" TargetMode="External" Id="rId108"/><Relationship Type="http://schemas.openxmlformats.org/officeDocument/2006/relationships/hyperlink" Target="https://app.fireflies.ai/view/01KYWDYRT4C0W0QNHZHSGPB2F2" TargetMode="External" Id="rId109"/><Relationship Type="http://schemas.openxmlformats.org/officeDocument/2006/relationships/hyperlink" Target="https://app.fireflies.ai/view/01KYTEHAWWTEVY1XBEH8VARVAJ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36" t="inlineStr">
        <is>
          <t>SUPERSEDED - JULY PITCH FIGURES ON THIS SHEET ARE WRONG. DO NOT QUOTE.</t>
        </is>
      </c>
    </row>
    <row r="2" ht="46" customHeight="1">
      <c r="A2" s="37" t="inlineStr">
        <is>
          <t>Audit 03/08/26: the offer regex had no word boundary, so 'our booking platform' also matched 'y-our booking platform'. Reps saying "YOUR booking platform" (the customer's existing system) were counted as Zoca pitches - 55% false positives on a 22-call sample. Counting was also per Chargebee customer record, and 89 emails map to multiple records. CORRECTED: 63 accounts pitched (not 98); 8 reached scheduling enabled (not 15); 12.7% conversion (not 15%).</t>
        </is>
      </c>
    </row>
    <row r="3">
      <c r="A3" s="37" t="inlineStr">
        <is>
          <t>UNAFFECTED: adoption funnel (444 locations, 368 enabled, 147 booking in 30d), payments ($645,568 / 139 accounts), cohort retention and migration sources use no regex and stand as published.</t>
        </is>
      </c>
    </row>
    <row r="4">
      <c r="A4" s="1" t="inlineStr">
        <is>
          <t>Scheduling — pitch, conversion and non-conversion</t>
        </is>
      </c>
    </row>
    <row r="5"/>
    <row r="6">
      <c r="A6" s="2" t="inlineStr"/>
      <c r="B6" s="3" t="inlineStr"/>
    </row>
    <row r="7">
      <c r="A7" s="2" t="inlineStr">
        <is>
          <t>Prepared</t>
        </is>
      </c>
      <c r="B7" s="3" t="inlineStr">
        <is>
          <t>03/08/26</t>
        </is>
      </c>
    </row>
    <row r="8">
      <c r="A8" s="2" t="inlineStr">
        <is>
          <t>Question</t>
        </is>
      </c>
      <c r="B8" s="3" t="inlineStr">
        <is>
          <t>How many accounts was scheduling pitched to, how many converted, and why did the rest not?</t>
        </is>
      </c>
    </row>
    <row r="9">
      <c r="A9" s="2" t="inlineStr">
        <is>
          <t>Primary source</t>
        </is>
      </c>
      <c r="B9" s="3" t="inlineStr">
        <is>
          <t>Aurora (Postgres) via Metabase database 7 — scheduling.*, chargebee.*, sales.fireflies_meeting, cx.*</t>
        </is>
      </c>
    </row>
    <row r="10">
      <c r="A10" s="2" t="inlineStr">
        <is>
          <t>Pitch window analysed</t>
        </is>
      </c>
      <c r="B10" s="3" t="inlineStr">
        <is>
          <t>01/07/26 - 31/07/26 (July 2026)</t>
        </is>
      </c>
    </row>
    <row r="11">
      <c r="A11" s="2" t="inlineStr">
        <is>
          <t>Adoption window analysed</t>
        </is>
      </c>
      <c r="B11" s="3" t="inlineStr">
        <is>
          <t>30/01/26 - 31/07/26 (full scheduling rollout to date)</t>
        </is>
      </c>
    </row>
    <row r="12">
      <c r="A12" s="2" t="inlineStr"/>
      <c r="B12" s="3" t="inlineStr"/>
    </row>
    <row r="13">
      <c r="A13" s="4" t="inlineStr">
        <is>
          <t>HEADLINE</t>
        </is>
      </c>
      <c r="B13" s="3" t="inlineStr"/>
    </row>
    <row r="14">
      <c r="A14" s="5" t="inlineStr">
        <is>
          <t>Accounts pitched in July 2026</t>
        </is>
      </c>
      <c r="B14" s="6" t="inlineStr">
        <is>
          <t>98</t>
        </is>
      </c>
    </row>
    <row r="15">
      <c r="A15" s="5" t="inlineStr">
        <is>
          <t>Of those, reached 'scheduling enabled'</t>
        </is>
      </c>
      <c r="B15" s="6" t="inlineStr">
        <is>
          <t>15  (15%)</t>
        </is>
      </c>
    </row>
    <row r="16">
      <c r="A16" s="2" t="inlineStr">
        <is>
          <t>Of those, never started onboarding</t>
        </is>
      </c>
      <c r="B16" s="3" t="inlineStr">
        <is>
          <t>76  (78%)</t>
        </is>
      </c>
    </row>
    <row r="17">
      <c r="A17" s="2" t="inlineStr">
        <is>
          <t>Value processed through scheduling to date</t>
        </is>
      </c>
      <c r="B17" s="3" t="inlineStr">
        <is>
          <t>$645,568 across 139 accounts</t>
        </is>
      </c>
    </row>
    <row r="18">
      <c r="A18" s="2" t="inlineStr"/>
      <c r="B18" s="3" t="inlineStr"/>
    </row>
    <row r="19">
      <c r="A19" s="4" t="inlineStr">
        <is>
          <t>HOW 'PITCHED' WAS DERIVED</t>
        </is>
      </c>
      <c r="B19" s="3" t="inlineStr"/>
    </row>
    <row r="20">
      <c r="A20" s="2" t="inlineStr">
        <is>
          <t>1</t>
        </is>
      </c>
      <c r="B20" s="3" t="inlineStr">
        <is>
          <t>No system records the pitch as a field. It was reconstructed from call transcripts.</t>
        </is>
      </c>
    </row>
    <row r="21">
      <c r="A21" s="2" t="inlineStr">
        <is>
          <t>2</t>
        </is>
      </c>
      <c r="B21" s="3" t="inlineStr">
        <is>
          <t>All 1,051 July calls in sales.fireflies_meeting; 1,046 carry a transcript.</t>
        </is>
      </c>
    </row>
    <row r="22">
      <c r="A22" s="2" t="inlineStr">
        <is>
          <t>3</t>
        </is>
      </c>
      <c r="B22" s="3" t="inlineStr">
        <is>
          <t>Attendee emails extracted from 'participants' by regex (field is inconsistently formatted - some JSON arrays, some comma-separated strings, so a JSON cast fails).</t>
        </is>
      </c>
    </row>
    <row r="23">
      <c r="A23" s="2" t="inlineStr">
        <is>
          <t>4</t>
        </is>
      </c>
      <c r="B23" s="3" t="inlineStr">
        <is>
          <t>Internal domains dropped: zoca.com, timelyai.com, zoca.ai.</t>
        </is>
      </c>
    </row>
    <row r="24">
      <c r="A24" s="2" t="inlineStr">
        <is>
          <t>5</t>
        </is>
      </c>
      <c r="B24" s="3" t="inlineStr">
        <is>
          <t>Remaining emails joined to chargebee.customers.email to identify the account.</t>
        </is>
      </c>
    </row>
    <row r="25">
      <c r="A25" s="2" t="inlineStr">
        <is>
          <t>6</t>
        </is>
      </c>
      <c r="B25" s="3" t="inlineStr">
        <is>
          <t>A call counts as an OFFER if the transcript contains Zoca offering its own scheduling ('our own booking platform', 'we have launched', 'comes with a booking platform', 'no extra charges', 'included in your subscription', 'show you our scheduling platform').</t>
        </is>
      </c>
    </row>
    <row r="26">
      <c r="A26" s="2" t="inlineStr">
        <is>
          <t>7</t>
        </is>
      </c>
      <c r="B26" s="3" t="inlineStr">
        <is>
          <t>Accounts already live on Zoca scheduling before the call are SUBTRACTED - offer language to an existing user is support, not a pitch. This step removes 12 accounts. Without it the answer is 110 and it is wrong.</t>
        </is>
      </c>
    </row>
    <row r="27">
      <c r="A27" s="2" t="inlineStr">
        <is>
          <t>8</t>
        </is>
      </c>
      <c r="B27" s="3" t="inlineStr">
        <is>
          <t>The regex was written only after all 141 candidate excerpts were read by hand; it formalises that read.</t>
        </is>
      </c>
    </row>
    <row r="28">
      <c r="A28" s="2" t="inlineStr"/>
      <c r="B28" s="3" t="inlineStr"/>
    </row>
    <row r="29">
      <c r="A29" s="4" t="inlineStr">
        <is>
          <t>COVERAGE LIMITS - READ BEFORE QUOTING</t>
        </is>
      </c>
      <c r="B29" s="3" t="inlineStr"/>
    </row>
    <row r="30">
      <c r="A30" s="2" t="inlineStr">
        <is>
          <t>98 is a floor, not a ceiling</t>
        </is>
      </c>
      <c r="B30" s="3" t="inlineStr">
        <is>
          <t>Only accounts whose attendee email matched a Chargebee customer record are counted. 230 of 433 distinct external emails matched (53%).</t>
        </is>
      </c>
    </row>
    <row r="31">
      <c r="A31" s="2" t="inlineStr">
        <is>
          <t>Prospects excluded</t>
        </is>
      </c>
      <c r="B31" s="3" t="inlineStr">
        <is>
          <t>~84 further external emails were pitched but match no Chargebee customer. Those are new-business pitches, not upsells to the existing book.</t>
        </is>
      </c>
    </row>
    <row r="32">
      <c r="A32" s="2" t="inlineStr">
        <is>
          <t>Repeat pitching</t>
        </is>
      </c>
      <c r="B32" s="3" t="inlineStr">
        <is>
          <t>284 individual July calls carried offer language against 98 accounts - roughly 2.9 offer-bearing calls per account.</t>
        </is>
      </c>
    </row>
    <row r="33">
      <c r="A33" s="2" t="inlineStr">
        <is>
          <t>Attribution is temporal, not causal</t>
        </is>
      </c>
      <c r="B33" s="3" t="inlineStr">
        <is>
          <t>An onboarding record created after the call is attributed to the pitch. Reasonable in a one-month window; not proven.</t>
        </is>
      </c>
    </row>
    <row r="34">
      <c r="A34" s="2" t="inlineStr">
        <is>
          <t>Locations vs accounts</t>
        </is>
      </c>
      <c r="B34" s="3" t="inlineStr">
        <is>
          <t>The adoption funnel counts 444 LOCATIONS. Only 156 map to an active billed account. Never quote 444 as an account count.</t>
        </is>
      </c>
    </row>
    <row r="35">
      <c r="A35" s="2" t="inlineStr"/>
      <c r="B35" s="3" t="inlineStr"/>
    </row>
    <row r="36">
      <c r="A36" s="4" t="inlineStr">
        <is>
          <t>SCHEMA TRAP</t>
        </is>
      </c>
      <c r="B36" s="3" t="inlineStr"/>
    </row>
    <row r="37">
      <c r="A37" s="2" t="inlineStr">
        <is>
          <t>Join key</t>
        </is>
      </c>
      <c r="B37" s="3" t="inlineStr">
        <is>
          <t>scheduling.onboarding.entity_id matches NOTHING - zero overlap with bookings or Chargebee. The account key is location_entity_id. A join on entity_id returns a valid-looking all-zero result rather than an error.</t>
        </is>
      </c>
    </row>
    <row r="38">
      <c r="A38" s="2" t="inlineStr"/>
      <c r="B38" s="3" t="inlineStr"/>
    </row>
    <row r="39">
      <c r="A39" s="4" t="inlineStr">
        <is>
          <t>SHEET GUIDE</t>
        </is>
      </c>
      <c r="B39" s="3" t="inlineStr"/>
    </row>
    <row r="40">
      <c r="A40" s="2" t="inlineStr">
        <is>
          <t>Summary</t>
        </is>
      </c>
      <c r="B40" s="3" t="inlineStr">
        <is>
          <t>Headline metrics, calculated live from the data sheets</t>
        </is>
      </c>
    </row>
    <row r="41">
      <c r="A41" s="2" t="inlineStr">
        <is>
          <t>July Pitch Funnel</t>
        </is>
      </c>
      <c r="B41" s="3" t="inlineStr">
        <is>
          <t>1,051 calls narrowed to 98 pitched accounts, stage by stage</t>
        </is>
      </c>
    </row>
    <row r="42">
      <c r="A42" s="2" t="inlineStr">
        <is>
          <t>Pitched Accounts</t>
        </is>
      </c>
      <c r="B42" s="3" t="inlineStr">
        <is>
          <t>Account-level detail: 110 rows = 98 pitched + 12 already-live (flagged in column J)</t>
        </is>
      </c>
    </row>
    <row r="43">
      <c r="A43" s="2" t="inlineStr">
        <is>
          <t>Adoption Funnel</t>
        </is>
      </c>
      <c r="B43" s="3" t="inlineStr">
        <is>
          <t>All 444 onboarding locations, stage by stage</t>
        </is>
      </c>
    </row>
    <row r="44">
      <c r="A44" s="2" t="inlineStr">
        <is>
          <t>Locations</t>
        </is>
      </c>
      <c r="B44" s="3" t="inlineStr">
        <is>
          <t>Account-level detail for all 444 locations</t>
        </is>
      </c>
    </row>
    <row r="45">
      <c r="A45" s="2" t="inlineStr">
        <is>
          <t>Cohort Retention</t>
        </is>
      </c>
      <c r="B45" s="3" t="inlineStr">
        <is>
          <t>Monthly cohorts and how many are still taking bookings</t>
        </is>
      </c>
    </row>
    <row r="46">
      <c r="A46" s="2" t="inlineStr">
        <is>
          <t>Bookings and Revenue</t>
        </is>
      </c>
      <c r="B46" s="3" t="inlineStr">
        <is>
          <t>Booking mix, payments processed, incumbent systems migrated from</t>
        </is>
      </c>
    </row>
    <row r="47">
      <c r="A47" s="2" t="inlineStr">
        <is>
          <t>Objection Themes</t>
        </is>
      </c>
      <c r="B47" s="3" t="inlineStr">
        <is>
          <t>Topic prevalence across 1,829 scheduling calls (Nov 25 - Aug 26)</t>
        </is>
      </c>
    </row>
    <row r="48">
      <c r="A48" s="2" t="inlineStr">
        <is>
          <t>Instrumentation Gaps</t>
        </is>
      </c>
      <c r="B48" s="3" t="inlineStr">
        <is>
          <t>Where a pitch record should live and what is actually there</t>
        </is>
      </c>
    </row>
    <row r="49"/>
    <row r="50">
      <c r="A50" s="4" t="inlineStr">
        <is>
          <t>CALL LINKS</t>
        </is>
      </c>
      <c r="B50" s="3" t="inlineStr">
        <is>
          <t>Pitched Accounts column I is a hyperlink to the first July call where the offer was made (sales.fireflies_meeting.transcript_url). Columns AA-AE carry the offer-call dates, call length and raw URLs. Opening a link requires a Fireflies account with access to that recording.</t>
        </is>
      </c>
    </row>
    <row r="51"/>
    <row r="52">
      <c r="A52" s="4" t="inlineStr">
        <is>
          <t>BUSINESS NAMES</t>
        </is>
      </c>
      <c r="B52" s="3" t="inlineStr">
        <is>
          <t>Locations column B carries the business name, resolved from GBP first, then GBP logs, then Chargebee, then entities.businesses. 395 of 444 resolved (89%); 49 show '(name not on file)'. The last column records which source each name came from. Important: entities.businesses keys on the PARENT entity (scheduling.onboarding.entity_id), while gbp.locations keys on the LOCATION (location_entity_id) — the two are different entities and joining on the wrong one returns zero rows.</t>
        </is>
      </c>
    </row>
    <row r="53"/>
    <row r="54">
      <c r="A54" s="4" t="inlineStr">
        <is>
          <t>CANONICAL SOURCE</t>
        </is>
      </c>
      <c r="B54" s="35" t="inlineStr">
        <is>
          <t>Master copy: ~/zoca-account-health-dashboard/docs/scheduling-analysis-03-08-26.xlsx  •  Share copy: ~/Downloads/Zoca-Scheduling-Adoption-Jul2026-v1.xlsx (v1, generated 03/08/26). If the two disagree, the master wins. Re-export from the master rather than editing the share copy; bump to v2 in the filename if the numbers are refreshed.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4" customWidth="1" min="3" max="3"/>
  </cols>
  <sheetData>
    <row r="1">
      <c r="A1" s="36" t="inlineStr">
        <is>
          <t>SUPERSEDED - JULY PITCH FIGURES ON THIS SHEET ARE WRONG. DO NOT QUOTE.</t>
        </is>
      </c>
    </row>
    <row r="2" ht="46" customHeight="1">
      <c r="A2" s="37" t="inlineStr">
        <is>
          <t>Audit 03/08/26: the offer regex had no word boundary, so 'our booking platform' also matched 'y-our booking platform'. Reps saying "YOUR booking platform" (the customer's existing system) were counted as Zoca pitches - 55% false positives on a 22-call sample. Counting was also per Chargebee customer record, and 89 emails map to multiple records. CORRECTED: 63 accounts pitched (not 98); 8 reached scheduling enabled (not 15); 12.7% conversion (not 15%).</t>
        </is>
      </c>
    </row>
    <row r="3">
      <c r="A3" s="37" t="inlineStr">
        <is>
          <t>UNAFFECTED: adoption funnel (444 locations, 368 enabled, 147 booking in 30d), payments ($645,568 / 139 accounts), cohort retention and migration sources use no regex and stand as published.</t>
        </is>
      </c>
    </row>
    <row r="4">
      <c r="A4" s="1" t="inlineStr">
        <is>
          <t>Summary — scheduling pitch and adoption</t>
        </is>
      </c>
    </row>
    <row r="5"/>
    <row r="6">
      <c r="A6" s="4" t="inlineStr">
        <is>
          <t>As-of date (drives the 30-day activity tests)</t>
        </is>
      </c>
      <c r="B6" s="14">
        <f>DATE(2026,8,3)</f>
        <v/>
      </c>
      <c r="C6" s="15" t="inlineStr">
        <is>
          <t>Blue = input. Change this to re-date every 30-day metric in the workbook.</t>
        </is>
      </c>
    </row>
    <row r="7"/>
    <row r="8">
      <c r="A8" s="16" t="inlineStr">
        <is>
          <t>JULY 2026 PITCH</t>
        </is>
      </c>
      <c r="B8" s="16" t="inlineStr">
        <is>
          <t>Value</t>
        </is>
      </c>
      <c r="C8" s="16" t="inlineStr">
        <is>
          <t>Notes</t>
        </is>
      </c>
    </row>
    <row r="9">
      <c r="A9" s="17" t="inlineStr">
        <is>
          <t>Accounts pitched</t>
        </is>
      </c>
      <c r="B9" s="17">
        <f>SUMPRODUCT(--('Pitched Accounts'!$J$2:$J$111=FALSE))</f>
        <v/>
      </c>
      <c r="C9" s="17" t="inlineStr">
        <is>
          <t>Offer made and not already live on Zoca scheduling</t>
        </is>
      </c>
    </row>
    <row r="10">
      <c r="A10" s="11" t="inlineStr">
        <is>
          <t>…that started onboarding</t>
        </is>
      </c>
      <c r="B10" s="11">
        <f>SUMPRODUCT(--('Pitched Accounts'!$J$2:$J$111=FALSE),--('Pitched Accounts'!$K$2:$K$111&lt;&gt;""))</f>
        <v/>
      </c>
      <c r="C10" s="11" t="inlineStr">
        <is>
          <t>Onboarding record created after the call</t>
        </is>
      </c>
    </row>
    <row r="11">
      <c r="A11" s="17" t="inlineStr">
        <is>
          <t>…that reached scheduling enabled</t>
        </is>
      </c>
      <c r="B11" s="17">
        <f>SUMPRODUCT(--('Pitched Accounts'!$J$2:$J$111=FALSE),--('Pitched Accounts'!$N$2:$N$111=TRUE))</f>
        <v/>
      </c>
      <c r="C11" s="17" t="inlineStr">
        <is>
          <t>The conversion number</t>
        </is>
      </c>
    </row>
    <row r="12">
      <c r="A12" s="11" t="inlineStr">
        <is>
          <t>…that never started</t>
        </is>
      </c>
      <c r="B12" s="11">
        <f>SUMPRODUCT(--('Pitched Accounts'!$J$2:$J$111=FALSE),--('Pitched Accounts'!$K$2:$K$111=""))</f>
        <v/>
      </c>
      <c r="C12" s="11" t="inlineStr"/>
    </row>
    <row r="13">
      <c r="A13" s="17" t="inlineStr">
        <is>
          <t>Pitch-to-activation rate</t>
        </is>
      </c>
      <c r="B13" s="18">
        <f>B8/B6</f>
        <v/>
      </c>
      <c r="C13" s="18" t="inlineStr">
        <is>
          <t>Enabled ÷ pitched</t>
        </is>
      </c>
    </row>
    <row r="14">
      <c r="A14" s="11" t="inlineStr">
        <is>
          <t>Accounts excluded (already live at pitch)</t>
        </is>
      </c>
      <c r="B14" s="11">
        <f>SUMPRODUCT(--('Pitched Accounts'!$J$2:$J$111=TRUE))</f>
        <v/>
      </c>
      <c r="C14" s="11" t="inlineStr">
        <is>
          <t>Offer language spoken to an existing user = support</t>
        </is>
      </c>
    </row>
    <row r="15">
      <c r="A15" s="11" t="inlineStr">
        <is>
          <t>Offer-bearing calls in July</t>
        </is>
      </c>
      <c r="B15" s="11" t="inlineStr">
        <is>
          <t>284</t>
        </is>
      </c>
      <c r="C15" s="11" t="inlineStr">
        <is>
          <t>Hardcoded. Source: count of July transcripts matching the offer regex.</t>
        </is>
      </c>
    </row>
    <row r="16"/>
    <row r="17">
      <c r="A17" s="16" t="inlineStr">
        <is>
          <t>ADOPTION TO DATE (444 LOCATIONS)</t>
        </is>
      </c>
      <c r="B17" s="16" t="inlineStr">
        <is>
          <t>Value</t>
        </is>
      </c>
      <c r="C17" s="16" t="inlineStr">
        <is>
          <t>Notes</t>
        </is>
      </c>
    </row>
    <row r="18">
      <c r="A18" s="11" t="inlineStr">
        <is>
          <t>Locations entered onboarding</t>
        </is>
      </c>
      <c r="B18" s="11">
        <f>COUNTA(Locations!$A$2:$A$445)</f>
        <v/>
      </c>
      <c r="C18" s="11" t="inlineStr"/>
    </row>
    <row r="19">
      <c r="A19" s="11" t="inlineStr">
        <is>
          <t>Scheduling enabled</t>
        </is>
      </c>
      <c r="B19" s="11">
        <f>SUMPRODUCT(--(Locations!$M$2:$M$445=TRUE))</f>
        <v/>
      </c>
      <c r="C19" s="11" t="inlineStr"/>
    </row>
    <row r="20">
      <c r="A20" s="11" t="inlineStr">
        <is>
          <t>Ever took a booking</t>
        </is>
      </c>
      <c r="B20" s="11">
        <f>SUMPRODUCT(--(Locations!$O$2:$O$445&gt;0))</f>
        <v/>
      </c>
      <c r="C20" s="11" t="inlineStr"/>
    </row>
    <row r="21">
      <c r="A21" s="17" t="inlineStr">
        <is>
          <t>Took a booking in last 30 days</t>
        </is>
      </c>
      <c r="B21" s="17">
        <f>SUMPRODUCT(--(Locations!$T$2:$T$445&gt;=$B$3-30))</f>
        <v/>
      </c>
      <c r="C21" s="17" t="inlineStr">
        <is>
          <t>Relative to as-of date</t>
        </is>
      </c>
    </row>
    <row r="22">
      <c r="A22" s="17" t="inlineStr">
        <is>
          <t>Dormant share of enabled</t>
        </is>
      </c>
      <c r="B22" s="18">
        <f>1-B18/B16</f>
        <v/>
      </c>
      <c r="C22" s="18" t="inlineStr">
        <is>
          <t>Enabled but not booking in last 30 days</t>
        </is>
      </c>
    </row>
    <row r="23">
      <c r="A23" s="11" t="inlineStr">
        <is>
          <t>Payments configured</t>
        </is>
      </c>
      <c r="B23" s="11">
        <f>SUMPRODUCT(--(Locations!$J$2:$J$445=TRUE))</f>
        <v/>
      </c>
      <c r="C23" s="11" t="inlineStr"/>
    </row>
    <row r="24">
      <c r="A24" s="17" t="inlineStr">
        <is>
          <t>Payments explicitly skipped</t>
        </is>
      </c>
      <c r="B24" s="17">
        <f>SUMPRODUCT(--(Locations!$K$2:$K$445=TRUE))</f>
        <v/>
      </c>
      <c r="C24" s="17" t="inlineStr">
        <is>
          <t>The single biggest drop-off in the funnel</t>
        </is>
      </c>
    </row>
    <row r="25">
      <c r="A25" s="17" t="inlineStr">
        <is>
          <t>Value processed (USD)</t>
        </is>
      </c>
      <c r="B25" s="19">
        <f>SUM(Locations!$V$2:$V$445)</f>
        <v/>
      </c>
      <c r="C25" s="28" t="inlineStr">
        <is>
          <t>Covers the 444 onboarding locations only. All-entity total is $645,568 across 139 accounts — one paying entity sits outside the onboarding table (delta $13,532).</t>
        </is>
      </c>
    </row>
    <row r="26">
      <c r="A26" s="11" t="inlineStr">
        <is>
          <t>Accounts that processed a payment</t>
        </is>
      </c>
      <c r="B26" s="11">
        <f>SUMPRODUCT(--(Locations!$U$2:$U$445&gt;0))</f>
        <v/>
      </c>
      <c r="C26" s="29" t="inlineStr">
        <is>
          <t>138 here vs 139 all-entity, same reason as above.</t>
        </is>
      </c>
    </row>
    <row r="27">
      <c r="A27" s="11" t="inlineStr">
        <is>
          <t>Locations linked to a billed account</t>
        </is>
      </c>
      <c r="B27" s="11">
        <f>SUMPRODUCT(--(Locations!$W$2:$W$445&lt;&gt;""))</f>
        <v/>
      </c>
      <c r="C27" s="11" t="inlineStr">
        <is>
          <t>444 are LOCATIONS, not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2" customWidth="1" min="4" max="4"/>
    <col width="46" customWidth="1" min="5" max="5"/>
  </cols>
  <sheetData>
    <row r="1">
      <c r="A1" s="36" t="inlineStr">
        <is>
          <t>SUPERSEDED - JULY PITCH FIGURES ON THIS SHEET ARE WRONG. DO NOT QUOTE.</t>
        </is>
      </c>
    </row>
    <row r="2" ht="46" customHeight="1">
      <c r="A2" s="37" t="inlineStr">
        <is>
          <t>Audit 03/08/26: the offer regex had no word boundary, so 'our booking platform' also matched 'y-our booking platform'. Reps saying "YOUR booking platform" (the customer's existing system) were counted as Zoca pitches - 55% false positives on a 22-call sample. Counting was also per Chargebee customer record, and 89 emails map to multiple records. CORRECTED: 63 accounts pitched (not 98); 8 reached scheduling enabled (not 15); 12.7% conversion (not 15%).</t>
        </is>
      </c>
    </row>
    <row r="3">
      <c r="A3" s="37" t="inlineStr">
        <is>
          <t>UNAFFECTED: adoption funnel (444 locations, 368 enabled, 147 booking in 30d), payments ($645,568 / 139 accounts), cohort retention and migration sources use no regex and stand as published.</t>
        </is>
      </c>
    </row>
    <row r="4">
      <c r="A4" s="1" t="inlineStr">
        <is>
          <t>July 2026 — from every recorded call down to 98 pitched accounts</t>
        </is>
      </c>
    </row>
    <row r="5">
      <c r="A5" s="15" t="inlineStr">
        <is>
          <t>Stages 1-5 are call-level counts fixed by the source query. Stages 6-9 calculate live from the Pitched Accounts sheet.</t>
        </is>
      </c>
    </row>
    <row r="6"/>
    <row r="7">
      <c r="A7" s="7" t="inlineStr">
        <is>
          <t>#</t>
        </is>
      </c>
      <c r="B7" s="7" t="inlineStr">
        <is>
          <t>Stage</t>
        </is>
      </c>
      <c r="C7" s="7" t="inlineStr">
        <is>
          <t>Count</t>
        </is>
      </c>
      <c r="D7" s="7" t="inlineStr">
        <is>
          <t>Unit</t>
        </is>
      </c>
      <c r="E7" s="7" t="inlineStr">
        <is>
          <t>Note</t>
        </is>
      </c>
    </row>
    <row r="8">
      <c r="A8" s="11" t="n">
        <v>1</v>
      </c>
      <c r="B8" s="11" t="inlineStr">
        <is>
          <t>Calls recorded in July 2026</t>
        </is>
      </c>
      <c r="C8" s="11" t="n">
        <v>1051</v>
      </c>
      <c r="D8" s="11" t="inlineStr">
        <is>
          <t>calls</t>
        </is>
      </c>
      <c r="E8" s="11" t="inlineStr">
        <is>
          <t>sales.fireflies_meeting</t>
        </is>
      </c>
    </row>
    <row r="9">
      <c r="A9" s="11" t="n">
        <v>2</v>
      </c>
      <c r="B9" s="11" t="inlineStr">
        <is>
          <t>…with a transcript</t>
        </is>
      </c>
      <c r="C9" s="11" t="n">
        <v>1046</v>
      </c>
      <c r="D9" s="11" t="inlineStr">
        <is>
          <t>calls</t>
        </is>
      </c>
      <c r="E9" s="11" t="inlineStr">
        <is>
          <t>5 rows have no transcript</t>
        </is>
      </c>
    </row>
    <row r="10">
      <c r="A10" s="11" t="n">
        <v>3</v>
      </c>
      <c r="B10" s="11" t="inlineStr">
        <is>
          <t>…with an external (non-Zoca) participant</t>
        </is>
      </c>
      <c r="C10" s="11" t="n">
        <v>777</v>
      </c>
      <c r="D10" s="11" t="inlineStr">
        <is>
          <t>calls</t>
        </is>
      </c>
      <c r="E10" s="11" t="inlineStr">
        <is>
          <t>433 distinct external emails</t>
        </is>
      </c>
    </row>
    <row r="11">
      <c r="A11" s="11" t="n">
        <v>4</v>
      </c>
      <c r="B11" s="11" t="inlineStr">
        <is>
          <t>…mapped to a known Chargebee account</t>
        </is>
      </c>
      <c r="C11" s="11" t="n">
        <v>462</v>
      </c>
      <c r="D11" s="11" t="inlineStr">
        <is>
          <t>calls</t>
        </is>
      </c>
      <c r="E11" s="11" t="inlineStr">
        <is>
          <t>230 distinct accounts</t>
        </is>
      </c>
    </row>
    <row r="12">
      <c r="A12" s="11" t="n">
        <v>5</v>
      </c>
      <c r="B12" s="11" t="inlineStr">
        <is>
          <t>Accounts whose call discussed booking/scheduling</t>
        </is>
      </c>
      <c r="C12" s="11" t="n">
        <v>141</v>
      </c>
      <c r="D12" s="11" t="inlineStr">
        <is>
          <t>accounts</t>
        </is>
      </c>
      <c r="E12" s="11" t="inlineStr">
        <is>
          <t>product mentioned at all</t>
        </is>
      </c>
    </row>
    <row r="13">
      <c r="A13" s="11" t="n">
        <v>6</v>
      </c>
      <c r="B13" s="11" t="inlineStr">
        <is>
          <t>Accounts that heard an explicit offer</t>
        </is>
      </c>
      <c r="C13" s="11">
        <f>SUMPRODUCT(--('Pitched Accounts'!$H$2:$H$111&gt;0))</f>
        <v/>
      </c>
      <c r="D13" s="11" t="inlineStr">
        <is>
          <t>accounts</t>
        </is>
      </c>
      <c r="E13" s="11" t="inlineStr">
        <is>
          <t>offer regex matched</t>
        </is>
      </c>
    </row>
    <row r="14">
      <c r="A14" s="11" t="n">
        <v>7</v>
      </c>
      <c r="B14" s="11" t="inlineStr">
        <is>
          <t>…minus those already live on Zoca scheduling</t>
        </is>
      </c>
      <c r="C14" s="11">
        <f>-SUMPRODUCT(--('Pitched Accounts'!$J$2:$J$111=TRUE))</f>
        <v/>
      </c>
      <c r="D14" s="11" t="inlineStr">
        <is>
          <t>accounts</t>
        </is>
      </c>
      <c r="E14" s="11" t="inlineStr">
        <is>
          <t>support, not a pitch</t>
        </is>
      </c>
    </row>
    <row r="15">
      <c r="A15" s="20" t="n">
        <v>8</v>
      </c>
      <c r="B15" s="20" t="inlineStr">
        <is>
          <t>ACCOUNTS PITCHED</t>
        </is>
      </c>
      <c r="C15" s="20">
        <f>SUMPRODUCT(--('Pitched Accounts'!$J$2:$J$111=FALSE))</f>
        <v/>
      </c>
      <c r="D15" s="20" t="inlineStr">
        <is>
          <t>accounts</t>
        </is>
      </c>
      <c r="E15" s="20" t="inlineStr">
        <is>
          <t>the answer</t>
        </is>
      </c>
    </row>
    <row r="16"/>
    <row r="17">
      <c r="A17" s="7" t="inlineStr"/>
      <c r="B17" s="7" t="inlineStr">
        <is>
          <t>Outcome for the 98 pitched</t>
        </is>
      </c>
      <c r="C17" s="7" t="inlineStr">
        <is>
          <t>Accounts</t>
        </is>
      </c>
      <c r="D17" s="7" t="inlineStr">
        <is>
          <t>Rate</t>
        </is>
      </c>
      <c r="E17" s="7" t="inlineStr"/>
    </row>
    <row r="18">
      <c r="A18" s="11" t="inlineStr"/>
      <c r="B18" s="11" t="inlineStr">
        <is>
          <t>Pitched</t>
        </is>
      </c>
      <c r="C18" s="11">
        <f>SUMPRODUCT(--('Pitched Accounts'!$J$2:$J$111=FALSE))</f>
        <v/>
      </c>
      <c r="D18" s="21">
        <f>C15/$C$15</f>
        <v/>
      </c>
      <c r="E18" s="11" t="inlineStr"/>
    </row>
    <row r="19">
      <c r="A19" s="11" t="inlineStr"/>
      <c r="B19" s="11" t="inlineStr">
        <is>
          <t>Started onboarding after the call</t>
        </is>
      </c>
      <c r="C19" s="11">
        <f>SUMPRODUCT(--('Pitched Accounts'!$J$2:$J$111=FALSE),--('Pitched Accounts'!$K$2:$K$111&lt;&gt;""))</f>
        <v/>
      </c>
      <c r="D19" s="21">
        <f>C16/$C$15</f>
        <v/>
      </c>
      <c r="E19" s="11" t="inlineStr"/>
    </row>
    <row r="20">
      <c r="A20" s="20" t="inlineStr"/>
      <c r="B20" s="20" t="inlineStr">
        <is>
          <t>Reached scheduling enabled</t>
        </is>
      </c>
      <c r="C20" s="20">
        <f>SUMPRODUCT(--('Pitched Accounts'!$J$2:$J$111=FALSE),--('Pitched Accounts'!$N$2:$N$111=TRUE))</f>
        <v/>
      </c>
      <c r="D20" s="22">
        <f>C17/$C$15</f>
        <v/>
      </c>
      <c r="E20" s="20" t="inlineStr"/>
    </row>
    <row r="21">
      <c r="A21" s="11" t="inlineStr"/>
      <c r="B21" s="11" t="inlineStr">
        <is>
          <t>Never started onboarding</t>
        </is>
      </c>
      <c r="C21" s="11">
        <f>SUMPRODUCT(--('Pitched Accounts'!$J$2:$J$111=FALSE),--('Pitched Accounts'!$K$2:$K$111=""))</f>
        <v/>
      </c>
      <c r="D21" s="21">
        <f>C18/$C$15</f>
        <v/>
      </c>
      <c r="E21" s="11" t="inlineStr"/>
    </row>
    <row r="22"/>
    <row r="23">
      <c r="A23" s="15" t="inlineStr">
        <is>
          <t>Coverage: only accounts whose attendee email matched a Chargebee customer are counted (230 of 433 distinct external emails, 53%). A further ~84 pitched emails match no customer record — prospects, excluded deliberately. 98 is a floor.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  <col width="46" customWidth="1" min="9" max="9"/>
    <col width="13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9" customWidth="1" min="20" max="20"/>
    <col width="9" customWidth="1" min="21" max="21"/>
    <col width="9" customWidth="1" min="22" max="22"/>
    <col width="12" customWidth="1" min="23" max="23"/>
    <col width="9" customWidth="1" min="24" max="24"/>
    <col width="10" customWidth="1" min="25" max="25"/>
    <col width="12" customWidth="1" min="26" max="26"/>
    <col width="14" customWidth="1" min="27" max="27"/>
    <col width="13" customWidth="1" min="28" max="28"/>
    <col width="14" customWidth="1" min="29" max="29"/>
    <col width="52" customWidth="1" min="30" max="30"/>
    <col width="52" customWidth="1" min="31" max="31"/>
  </cols>
  <sheetData>
    <row r="1">
      <c r="A1" s="36" t="inlineStr">
        <is>
          <t>SUPERSEDED - JULY PITCH FIGURES ON THIS SHEET ARE WRONG. DO NOT QUOTE.</t>
        </is>
      </c>
    </row>
    <row r="2" ht="46" customHeight="1">
      <c r="A2" s="37" t="inlineStr">
        <is>
          <t>Audit 03/08/26: the offer regex had no word boundary, so 'our booking platform' also matched 'y-our booking platform'. Reps saying "YOUR booking platform" (the customer's existing system) were counted as Zoca pitches - 55% false positives on a 22-call sample. Counting was also per Chargebee customer record, and 89 emails map to multiple records. CORRECTED: 63 accounts pitched (not 98); 8 reached scheduling enabled (not 15); 12.7% conversion (not 15%).</t>
        </is>
      </c>
    </row>
    <row r="3">
      <c r="A3" s="37" t="inlineStr">
        <is>
          <t>UNAFFECTED: adoption funnel (444 locations, 368 enabled, 147 booking in 30d), payments ($645,568 / 139 accounts), cohort retention and migration sources use no regex and stand as published.</t>
        </is>
      </c>
    </row>
    <row r="4">
      <c r="A4" s="7" t="inlineStr">
        <is>
          <t>Account</t>
        </is>
      </c>
      <c r="B4" s="7" t="inlineStr">
        <is>
          <t>Contact email</t>
        </is>
      </c>
      <c r="C4" s="7" t="inlineStr">
        <is>
          <t>MRR (USD)</t>
        </is>
      </c>
      <c r="D4" s="7" t="inlineStr">
        <is>
          <t>Sub status</t>
        </is>
      </c>
      <c r="E4" s="7" t="inlineStr">
        <is>
          <t>First call</t>
        </is>
      </c>
      <c r="F4" s="7" t="inlineStr">
        <is>
          <t>Last call</t>
        </is>
      </c>
      <c r="G4" s="7" t="inlineStr">
        <is>
          <t>Scheduling calls</t>
        </is>
      </c>
      <c r="H4" s="7" t="inlineStr">
        <is>
          <t>Offer calls</t>
        </is>
      </c>
      <c r="I4" s="7" t="inlineStr">
        <is>
          <t>First offer call — click to open in Fireflies</t>
        </is>
      </c>
      <c r="J4" s="7" t="inlineStr">
        <is>
          <t>Already live at pitch (excluded)</t>
        </is>
      </c>
      <c r="K4" s="7" t="inlineStr">
        <is>
          <t>Onboarding started</t>
        </is>
      </c>
      <c r="L4" s="7" t="inlineStr">
        <is>
          <t>Opted in</t>
        </is>
      </c>
      <c r="M4" s="7" t="inlineStr">
        <is>
          <t>Onboarding completed</t>
        </is>
      </c>
      <c r="N4" s="7" t="inlineStr">
        <is>
          <t>Scheduling enabled</t>
        </is>
      </c>
      <c r="O4" s="7" t="inlineStr">
        <is>
          <t>Payments configured</t>
        </is>
      </c>
      <c r="P4" s="7" t="inlineStr">
        <is>
          <t>Native bookings</t>
        </is>
      </c>
      <c r="Q4" s="7" t="inlineStr">
        <is>
          <t>Online bookings</t>
        </is>
      </c>
      <c r="R4" s="7" t="inlineStr">
        <is>
          <t>Last booking</t>
        </is>
      </c>
      <c r="S4" s="7" t="inlineStr">
        <is>
          <t>Mindbody</t>
        </is>
      </c>
      <c r="T4" s="7" t="inlineStr">
        <is>
          <t>Vagaro</t>
        </is>
      </c>
      <c r="U4" s="7" t="inlineStr">
        <is>
          <t>Booksy</t>
        </is>
      </c>
      <c r="V4" s="7" t="inlineStr">
        <is>
          <t>Fresha</t>
        </is>
      </c>
      <c r="W4" s="7" t="inlineStr">
        <is>
          <t>GlossGenius</t>
        </is>
      </c>
      <c r="X4" s="7" t="inlineStr">
        <is>
          <t>Acuity</t>
        </is>
      </c>
      <c r="Y4" s="7" t="inlineStr">
        <is>
          <t>Other tool</t>
        </is>
      </c>
      <c r="Z4" s="7" t="inlineStr">
        <is>
          <t>Deposits discussed</t>
        </is>
      </c>
      <c r="AA4" s="7" t="inlineStr">
        <is>
          <t>First offer call date</t>
        </is>
      </c>
      <c r="AB4" s="7" t="inlineStr">
        <is>
          <t>Call length (min)</t>
        </is>
      </c>
      <c r="AC4" s="7" t="inlineStr">
        <is>
          <t>Last offer call date</t>
        </is>
      </c>
      <c r="AD4" s="7" t="inlineStr">
        <is>
          <t>Fireflies URL — first offer</t>
        </is>
      </c>
      <c r="AE4" s="7" t="inlineStr">
        <is>
          <t>Fireflies URL — last offer</t>
        </is>
      </c>
    </row>
    <row r="5">
      <c r="A5" s="8" t="inlineStr">
        <is>
          <t>J Madison Spa</t>
        </is>
      </c>
      <c r="B5" s="8" t="inlineStr">
        <is>
          <t>info@jmadisonspa.com</t>
        </is>
      </c>
      <c r="C5" s="9" t="n">
        <v>199</v>
      </c>
      <c r="D5" s="8" t="inlineStr">
        <is>
          <t>active</t>
        </is>
      </c>
      <c r="E5" s="23" t="n">
        <v>46204</v>
      </c>
      <c r="F5" s="23" t="n">
        <v>46212</v>
      </c>
      <c r="G5" s="8" t="n">
        <v>2</v>
      </c>
      <c r="H5" s="8" t="n">
        <v>2</v>
      </c>
      <c r="I5" s="31" t="inlineStr">
        <is>
          <t>J Madison Spa X Zoca | Check In July</t>
        </is>
      </c>
      <c r="J5" s="8" t="b">
        <v>0</v>
      </c>
      <c r="K5" s="23" t="n"/>
      <c r="L5" s="8" t="b">
        <v>0</v>
      </c>
      <c r="M5" s="8" t="b">
        <v>0</v>
      </c>
      <c r="N5" s="8" t="b">
        <v>0</v>
      </c>
      <c r="O5" s="8" t="b">
        <v>0</v>
      </c>
      <c r="P5" s="8" t="n">
        <v>0</v>
      </c>
      <c r="Q5" s="8" t="n">
        <v>0</v>
      </c>
      <c r="R5" s="23" t="n"/>
      <c r="S5" s="8" t="b">
        <v>0</v>
      </c>
      <c r="T5" s="8" t="b">
        <v>0</v>
      </c>
      <c r="U5" s="8" t="b">
        <v>0</v>
      </c>
      <c r="V5" s="8" t="b">
        <v>0</v>
      </c>
      <c r="W5" s="8" t="b">
        <v>0</v>
      </c>
      <c r="X5" s="8" t="b">
        <v>0</v>
      </c>
      <c r="Y5" s="8" t="b">
        <v>1</v>
      </c>
      <c r="Z5" s="8" t="b">
        <v>1</v>
      </c>
      <c r="AA5" s="23" t="n">
        <v>46204</v>
      </c>
      <c r="AB5" s="8" t="n"/>
      <c r="AC5" s="23" t="n">
        <v>46212</v>
      </c>
      <c r="AD5" s="8" t="inlineStr">
        <is>
          <t>https://app.fireflies.ai/view/01KWCTTN3RNN15K1BER97NS33X</t>
        </is>
      </c>
      <c r="AE5" s="8" t="inlineStr">
        <is>
          <t>https://app.fireflies.ai/view/01KWYP7KBP026M401V03SN6F8Z</t>
        </is>
      </c>
    </row>
    <row r="6">
      <c r="A6" s="11" t="inlineStr">
        <is>
          <t>Glenn</t>
        </is>
      </c>
      <c r="B6" s="11" t="inlineStr">
        <is>
          <t>Glennemeryskincare@gmail.com</t>
        </is>
      </c>
      <c r="C6" s="12" t="n">
        <v>149</v>
      </c>
      <c r="D6" s="11" t="inlineStr">
        <is>
          <t>active</t>
        </is>
      </c>
      <c r="E6" s="24" t="n">
        <v>46204</v>
      </c>
      <c r="F6" s="24" t="n">
        <v>46224</v>
      </c>
      <c r="G6" s="11" t="n">
        <v>4</v>
      </c>
      <c r="H6" s="11" t="n">
        <v>2</v>
      </c>
      <c r="I6" s="32" t="inlineStr">
        <is>
          <t>Glenn Emery Skincare X Zoca | Check In July</t>
        </is>
      </c>
      <c r="J6" s="11" t="b">
        <v>0</v>
      </c>
      <c r="K6" s="24" t="n">
        <v>46205</v>
      </c>
      <c r="L6" s="11" t="b">
        <v>1</v>
      </c>
      <c r="M6" s="11" t="b">
        <v>1</v>
      </c>
      <c r="N6" s="11" t="b">
        <v>1</v>
      </c>
      <c r="O6" s="11" t="b">
        <v>1</v>
      </c>
      <c r="P6" s="11" t="n">
        <v>3</v>
      </c>
      <c r="Q6" s="11" t="n">
        <v>1</v>
      </c>
      <c r="R6" s="24" t="n">
        <v>46232</v>
      </c>
      <c r="S6" s="11" t="b">
        <v>0</v>
      </c>
      <c r="T6" s="11" t="b">
        <v>0</v>
      </c>
      <c r="U6" s="11" t="b">
        <v>1</v>
      </c>
      <c r="V6" s="11" t="b">
        <v>0</v>
      </c>
      <c r="W6" s="11" t="b">
        <v>1</v>
      </c>
      <c r="X6" s="11" t="b">
        <v>1</v>
      </c>
      <c r="Y6" s="11" t="b">
        <v>0</v>
      </c>
      <c r="Z6" s="11" t="b">
        <v>1</v>
      </c>
      <c r="AA6" s="24" t="n">
        <v>46204</v>
      </c>
      <c r="AB6" s="11" t="n"/>
      <c r="AC6" s="24" t="n">
        <v>46224</v>
      </c>
      <c r="AD6" s="11" t="inlineStr">
        <is>
          <t>https://app.fireflies.ai/view/01KWETFRAE7VJAPRPBD4TPFH83</t>
        </is>
      </c>
      <c r="AE6" s="11" t="inlineStr">
        <is>
          <t>https://app.fireflies.ai/view/01KY083YEVGV3SQKWRXT54C710</t>
        </is>
      </c>
    </row>
    <row r="7">
      <c r="A7" s="8" t="inlineStr">
        <is>
          <t>Be Tamed Hair Salon</t>
        </is>
      </c>
      <c r="B7" s="8" t="inlineStr">
        <is>
          <t>dreamphotographydfw@gmail.com</t>
        </is>
      </c>
      <c r="C7" s="9" t="n"/>
      <c r="D7" s="8" t="n"/>
      <c r="E7" s="23" t="n">
        <v>46204</v>
      </c>
      <c r="F7" s="23" t="n">
        <v>46209</v>
      </c>
      <c r="G7" s="8" t="n">
        <v>4</v>
      </c>
      <c r="H7" s="8" t="n">
        <v>2</v>
      </c>
      <c r="I7" s="31" t="inlineStr">
        <is>
          <t>Be Tamed Hair Salon X Zoca | Check In July</t>
        </is>
      </c>
      <c r="J7" s="8" t="b">
        <v>0</v>
      </c>
      <c r="K7" s="23" t="n"/>
      <c r="L7" s="8" t="b">
        <v>0</v>
      </c>
      <c r="M7" s="8" t="b">
        <v>0</v>
      </c>
      <c r="N7" s="8" t="b">
        <v>0</v>
      </c>
      <c r="O7" s="8" t="b">
        <v>0</v>
      </c>
      <c r="P7" s="8" t="n">
        <v>0</v>
      </c>
      <c r="Q7" s="8" t="n">
        <v>0</v>
      </c>
      <c r="R7" s="23" t="n"/>
      <c r="S7" s="8" t="b">
        <v>0</v>
      </c>
      <c r="T7" s="8" t="b">
        <v>0</v>
      </c>
      <c r="U7" s="8" t="b">
        <v>0</v>
      </c>
      <c r="V7" s="8" t="b">
        <v>0</v>
      </c>
      <c r="W7" s="8" t="b">
        <v>0</v>
      </c>
      <c r="X7" s="8" t="b">
        <v>0</v>
      </c>
      <c r="Y7" s="8" t="b">
        <v>0</v>
      </c>
      <c r="Z7" s="8" t="b">
        <v>1</v>
      </c>
      <c r="AA7" s="23" t="n">
        <v>46204</v>
      </c>
      <c r="AB7" s="8" t="n"/>
      <c r="AC7" s="23" t="n">
        <v>46206</v>
      </c>
      <c r="AD7" s="8" t="inlineStr">
        <is>
          <t>https://app.fireflies.ai/view/01KWAJMPQTHXK62CHES8MP5MFS</t>
        </is>
      </c>
      <c r="AE7" s="8" t="inlineStr">
        <is>
          <t>https://app.fireflies.ai/view/01KWMM8M3J8PPNJJ2BNQEAEABH</t>
        </is>
      </c>
    </row>
    <row r="8">
      <c r="A8" s="11" t="inlineStr">
        <is>
          <t>Rosado Beauty</t>
        </is>
      </c>
      <c r="B8" s="11" t="inlineStr">
        <is>
          <t>danielarosadoart@gmail.com</t>
        </is>
      </c>
      <c r="C8" s="12" t="n">
        <v>300</v>
      </c>
      <c r="D8" s="11" t="inlineStr">
        <is>
          <t>active</t>
        </is>
      </c>
      <c r="E8" s="24" t="n">
        <v>46204</v>
      </c>
      <c r="F8" s="24" t="n">
        <v>46211</v>
      </c>
      <c r="G8" s="11" t="n">
        <v>3</v>
      </c>
      <c r="H8" s="11" t="n">
        <v>3</v>
      </c>
      <c r="I8" s="32" t="inlineStr">
        <is>
          <t>Rosado Beauty X Zoca | Check In July</t>
        </is>
      </c>
      <c r="J8" s="11" t="b">
        <v>0</v>
      </c>
      <c r="K8" s="24" t="n"/>
      <c r="L8" s="11" t="b">
        <v>0</v>
      </c>
      <c r="M8" s="11" t="b">
        <v>0</v>
      </c>
      <c r="N8" s="11" t="b">
        <v>0</v>
      </c>
      <c r="O8" s="11" t="b">
        <v>0</v>
      </c>
      <c r="P8" s="11" t="n">
        <v>0</v>
      </c>
      <c r="Q8" s="11" t="n">
        <v>0</v>
      </c>
      <c r="R8" s="24" t="n"/>
      <c r="S8" s="11" t="b">
        <v>0</v>
      </c>
      <c r="T8" s="11" t="b">
        <v>0</v>
      </c>
      <c r="U8" s="11" t="b">
        <v>0</v>
      </c>
      <c r="V8" s="11" t="b">
        <v>0</v>
      </c>
      <c r="W8" s="11" t="b">
        <v>1</v>
      </c>
      <c r="X8" s="11" t="b">
        <v>0</v>
      </c>
      <c r="Y8" s="11" t="b">
        <v>0</v>
      </c>
      <c r="Z8" s="11" t="b">
        <v>1</v>
      </c>
      <c r="AA8" s="24" t="n">
        <v>46204</v>
      </c>
      <c r="AB8" s="11" t="n">
        <v>45</v>
      </c>
      <c r="AC8" s="24" t="n">
        <v>46211</v>
      </c>
      <c r="AD8" s="11" t="inlineStr">
        <is>
          <t>https://app.fireflies.ai/view/01KWAK2D8NJRQNAVVCQV5PT97F</t>
        </is>
      </c>
      <c r="AE8" s="11" t="inlineStr">
        <is>
          <t>https://app.fireflies.ai/view/01KX0TKCEA6W59HEG10SWTDBFP</t>
        </is>
      </c>
    </row>
    <row r="9">
      <c r="A9" s="8" t="inlineStr">
        <is>
          <t>Forever Balanced Massage</t>
        </is>
      </c>
      <c r="B9" s="8" t="inlineStr">
        <is>
          <t>darrinlane0@gmail.com</t>
        </is>
      </c>
      <c r="C9" s="9" t="n">
        <v>99</v>
      </c>
      <c r="D9" s="8" t="inlineStr">
        <is>
          <t>active</t>
        </is>
      </c>
      <c r="E9" s="23" t="n">
        <v>46205</v>
      </c>
      <c r="F9" s="23" t="n">
        <v>46219</v>
      </c>
      <c r="G9" s="8" t="n">
        <v>3</v>
      </c>
      <c r="H9" s="8" t="n">
        <v>2</v>
      </c>
      <c r="I9" s="31" t="inlineStr">
        <is>
          <t>Forever Balanced Massage X Zoca | Check In July</t>
        </is>
      </c>
      <c r="J9" s="8" t="b">
        <v>0</v>
      </c>
      <c r="K9" s="23" t="n">
        <v>46210</v>
      </c>
      <c r="L9" s="8" t="b">
        <v>1</v>
      </c>
      <c r="M9" s="8" t="b">
        <v>1</v>
      </c>
      <c r="N9" s="8" t="b">
        <v>1</v>
      </c>
      <c r="O9" s="8" t="b">
        <v>0</v>
      </c>
      <c r="P9" s="8" t="n">
        <v>13</v>
      </c>
      <c r="Q9" s="8" t="n">
        <v>7</v>
      </c>
      <c r="R9" s="23" t="n">
        <v>46237</v>
      </c>
      <c r="S9" s="8" t="b">
        <v>0</v>
      </c>
      <c r="T9" s="8" t="b">
        <v>0</v>
      </c>
      <c r="U9" s="8" t="b">
        <v>0</v>
      </c>
      <c r="V9" s="8" t="b">
        <v>0</v>
      </c>
      <c r="W9" s="8" t="b">
        <v>0</v>
      </c>
      <c r="X9" s="8" t="b">
        <v>0</v>
      </c>
      <c r="Y9" s="8" t="b">
        <v>0</v>
      </c>
      <c r="Z9" s="8" t="b">
        <v>1</v>
      </c>
      <c r="AA9" s="23" t="n">
        <v>46205</v>
      </c>
      <c r="AB9" s="8" t="n"/>
      <c r="AC9" s="23" t="n">
        <v>46210</v>
      </c>
      <c r="AD9" s="8" t="inlineStr">
        <is>
          <t>https://app.fireflies.ai/view/01KWD6Z9869YYFXXGBXEJPVFTJ</t>
        </is>
      </c>
      <c r="AE9" s="8" t="inlineStr">
        <is>
          <t>https://app.fireflies.ai/view/01KWJJKZN53B8MSWT4DVRZ57R2</t>
        </is>
      </c>
    </row>
    <row r="10">
      <c r="A10" s="11" t="inlineStr">
        <is>
          <t>Seven Layer Skin</t>
        </is>
      </c>
      <c r="B10" s="11" t="inlineStr">
        <is>
          <t>sevenlayerskin.ri@gmail.com</t>
        </is>
      </c>
      <c r="C10" s="12" t="n">
        <v>76.04000000000001</v>
      </c>
      <c r="D10" s="11" t="inlineStr">
        <is>
          <t>active</t>
        </is>
      </c>
      <c r="E10" s="24" t="n">
        <v>46205</v>
      </c>
      <c r="F10" s="24" t="n">
        <v>46205</v>
      </c>
      <c r="G10" s="11" t="n">
        <v>1</v>
      </c>
      <c r="H10" s="11" t="n">
        <v>1</v>
      </c>
      <c r="I10" s="32" t="inlineStr">
        <is>
          <t>Seven Layer Skin X Zoca | Check In July</t>
        </is>
      </c>
      <c r="J10" s="11" t="b">
        <v>0</v>
      </c>
      <c r="K10" s="24" t="n"/>
      <c r="L10" s="11" t="b">
        <v>0</v>
      </c>
      <c r="M10" s="11" t="b">
        <v>0</v>
      </c>
      <c r="N10" s="11" t="b">
        <v>0</v>
      </c>
      <c r="O10" s="11" t="b">
        <v>0</v>
      </c>
      <c r="P10" s="11" t="n">
        <v>0</v>
      </c>
      <c r="Q10" s="11" t="n">
        <v>0</v>
      </c>
      <c r="R10" s="24" t="n"/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1</v>
      </c>
      <c r="AA10" s="24" t="n">
        <v>46205</v>
      </c>
      <c r="AB10" s="11" t="n"/>
      <c r="AC10" s="24" t="n">
        <v>46205</v>
      </c>
      <c r="AD10" s="11" t="inlineStr">
        <is>
          <t>https://app.fireflies.ai/view/01KWFSZ5SJH6JF865SN7FNQ472</t>
        </is>
      </c>
      <c r="AE10" s="11" t="inlineStr">
        <is>
          <t>https://app.fireflies.ai/view/01KWFSZ5SJH6JF865SN7FNQ472</t>
        </is>
      </c>
    </row>
    <row r="11">
      <c r="A11" s="8" t="inlineStr">
        <is>
          <t>L&amp;R Beauty</t>
        </is>
      </c>
      <c r="B11" s="8" t="inlineStr">
        <is>
          <t>lianacumbie585@gmail.com</t>
        </is>
      </c>
      <c r="C11" s="9" t="n">
        <v>199</v>
      </c>
      <c r="D11" s="8" t="inlineStr">
        <is>
          <t>active</t>
        </is>
      </c>
      <c r="E11" s="23" t="n">
        <v>46205</v>
      </c>
      <c r="F11" s="23" t="n">
        <v>46217</v>
      </c>
      <c r="G11" s="8" t="n">
        <v>3</v>
      </c>
      <c r="H11" s="8" t="n">
        <v>1</v>
      </c>
      <c r="I11" s="31" t="inlineStr">
        <is>
          <t>L&amp;R Beauty X Zoca | Check In July</t>
        </is>
      </c>
      <c r="J11" s="8" t="b">
        <v>1</v>
      </c>
      <c r="K11" s="23" t="n">
        <v>46181</v>
      </c>
      <c r="L11" s="8" t="b">
        <v>1</v>
      </c>
      <c r="M11" s="8" t="b">
        <v>1</v>
      </c>
      <c r="N11" s="8" t="b">
        <v>1</v>
      </c>
      <c r="O11" s="8" t="b">
        <v>1</v>
      </c>
      <c r="P11" s="8" t="n">
        <v>11</v>
      </c>
      <c r="Q11" s="8" t="n">
        <v>4</v>
      </c>
      <c r="R11" s="23" t="n">
        <v>46226</v>
      </c>
      <c r="S11" s="8" t="b">
        <v>0</v>
      </c>
      <c r="T11" s="8" t="b">
        <v>0</v>
      </c>
      <c r="U11" s="8" t="b">
        <v>0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1</v>
      </c>
      <c r="AA11" s="23" t="n">
        <v>46205</v>
      </c>
      <c r="AB11" s="8" t="n"/>
      <c r="AC11" s="23" t="n">
        <v>46205</v>
      </c>
      <c r="AD11" s="8" t="inlineStr">
        <is>
          <t>https://app.fireflies.ai/view/01KWFEQ7KEX8RW3D76HKM9RHY2</t>
        </is>
      </c>
      <c r="AE11" s="8" t="inlineStr">
        <is>
          <t>https://app.fireflies.ai/view/01KWFEQ7KEX8RW3D76HKM9RHY2</t>
        </is>
      </c>
    </row>
    <row r="12">
      <c r="A12" s="11" t="inlineStr">
        <is>
          <t>SolVita Wellness Spa</t>
        </is>
      </c>
      <c r="B12" s="11" t="inlineStr">
        <is>
          <t>spadirector@mysolvita.com</t>
        </is>
      </c>
      <c r="C12" s="12" t="n">
        <v>249</v>
      </c>
      <c r="D12" s="11" t="inlineStr">
        <is>
          <t>active</t>
        </is>
      </c>
      <c r="E12" s="24" t="n">
        <v>46205</v>
      </c>
      <c r="F12" s="24" t="n">
        <v>46224</v>
      </c>
      <c r="G12" s="11" t="n">
        <v>3</v>
      </c>
      <c r="H12" s="11" t="n">
        <v>3</v>
      </c>
      <c r="I12" s="32" t="inlineStr">
        <is>
          <t>SolVita Wellness Spa X Zoca | Check In July</t>
        </is>
      </c>
      <c r="J12" s="11" t="b">
        <v>0</v>
      </c>
      <c r="K12" s="24" t="n"/>
      <c r="L12" s="11" t="b">
        <v>0</v>
      </c>
      <c r="M12" s="11" t="b">
        <v>0</v>
      </c>
      <c r="N12" s="11" t="b">
        <v>0</v>
      </c>
      <c r="O12" s="11" t="b">
        <v>0</v>
      </c>
      <c r="P12" s="11" t="n">
        <v>0</v>
      </c>
      <c r="Q12" s="11" t="n">
        <v>0</v>
      </c>
      <c r="R12" s="24" t="n"/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24" t="n">
        <v>46205</v>
      </c>
      <c r="AB12" s="11" t="n"/>
      <c r="AC12" s="24" t="n">
        <v>46224</v>
      </c>
      <c r="AD12" s="11" t="inlineStr">
        <is>
          <t>https://app.fireflies.ai/view/01KWFY893YVKTQZP6890KFVA1M</t>
        </is>
      </c>
      <c r="AE12" s="11" t="inlineStr">
        <is>
          <t>https://app.fireflies.ai/view/01KY1AD4E1834PDFT2EJE4D0QA</t>
        </is>
      </c>
    </row>
    <row r="13">
      <c r="A13" s="8" t="inlineStr">
        <is>
          <t>The Sculpt Spa</t>
        </is>
      </c>
      <c r="B13" s="8" t="inlineStr">
        <is>
          <t>thesculptspa@gmail.com</t>
        </is>
      </c>
      <c r="C13" s="9" t="n">
        <v>150</v>
      </c>
      <c r="D13" s="8" t="inlineStr">
        <is>
          <t>active</t>
        </is>
      </c>
      <c r="E13" s="23" t="n">
        <v>46205</v>
      </c>
      <c r="F13" s="23" t="n">
        <v>46223</v>
      </c>
      <c r="G13" s="8" t="n">
        <v>2</v>
      </c>
      <c r="H13" s="8" t="n">
        <v>2</v>
      </c>
      <c r="I13" s="31" t="inlineStr">
        <is>
          <t>The Sculpt Spa</t>
        </is>
      </c>
      <c r="J13" s="8" t="b">
        <v>1</v>
      </c>
      <c r="K13" s="23" t="n">
        <v>46083</v>
      </c>
      <c r="L13" s="8" t="b">
        <v>1</v>
      </c>
      <c r="M13" s="8" t="b">
        <v>1</v>
      </c>
      <c r="N13" s="8" t="b">
        <v>1</v>
      </c>
      <c r="O13" s="8" t="b">
        <v>1</v>
      </c>
      <c r="P13" s="8" t="n">
        <v>6</v>
      </c>
      <c r="Q13" s="8" t="n">
        <v>6</v>
      </c>
      <c r="R13" s="23" t="n">
        <v>46199</v>
      </c>
      <c r="S13" s="8" t="b">
        <v>0</v>
      </c>
      <c r="T13" s="8" t="b">
        <v>0</v>
      </c>
      <c r="U13" s="8" t="b">
        <v>0</v>
      </c>
      <c r="V13" s="8" t="b">
        <v>0</v>
      </c>
      <c r="W13" s="8" t="b">
        <v>0</v>
      </c>
      <c r="X13" s="8" t="b">
        <v>0</v>
      </c>
      <c r="Y13" s="8" t="b">
        <v>1</v>
      </c>
      <c r="Z13" s="8" t="b">
        <v>1</v>
      </c>
      <c r="AA13" s="23" t="n">
        <v>46205</v>
      </c>
      <c r="AB13" s="8" t="n">
        <v>48</v>
      </c>
      <c r="AC13" s="23" t="n">
        <v>46223</v>
      </c>
      <c r="AD13" s="8" t="inlineStr">
        <is>
          <t>https://app.fireflies.ai/view/01KWJ6XA7E2C0TPBT5HX5PDWXZ</t>
        </is>
      </c>
      <c r="AE13" s="8" t="inlineStr">
        <is>
          <t>https://app.fireflies.ai/view/01KY07FQYHZT1CEYT2J524VKT0</t>
        </is>
      </c>
    </row>
    <row r="14">
      <c r="A14" s="11" t="inlineStr">
        <is>
          <t>LeenaZoca</t>
        </is>
      </c>
      <c r="B14" s="11" t="inlineStr">
        <is>
          <t>desouza.leena@gmail.com</t>
        </is>
      </c>
      <c r="C14" s="12" t="n">
        <v>200</v>
      </c>
      <c r="D14" s="11" t="inlineStr">
        <is>
          <t>active</t>
        </is>
      </c>
      <c r="E14" s="24" t="n">
        <v>46206</v>
      </c>
      <c r="F14" s="24" t="n">
        <v>46209</v>
      </c>
      <c r="G14" s="11" t="n">
        <v>2</v>
      </c>
      <c r="H14" s="11" t="n">
        <v>1</v>
      </c>
      <c r="I14" s="32" t="inlineStr">
        <is>
          <t>LeenaZoca</t>
        </is>
      </c>
      <c r="J14" s="11" t="b">
        <v>1</v>
      </c>
      <c r="K14" s="24" t="n">
        <v>46113</v>
      </c>
      <c r="L14" s="11" t="b">
        <v>1</v>
      </c>
      <c r="M14" s="11" t="b">
        <v>1</v>
      </c>
      <c r="N14" s="11" t="b">
        <v>1</v>
      </c>
      <c r="O14" s="11" t="b">
        <v>0</v>
      </c>
      <c r="P14" s="11" t="n">
        <v>531</v>
      </c>
      <c r="Q14" s="11" t="n">
        <v>80</v>
      </c>
      <c r="R14" s="24" t="n">
        <v>46236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24" t="n">
        <v>46206</v>
      </c>
      <c r="AB14" s="11" t="n"/>
      <c r="AC14" s="24" t="n">
        <v>46206</v>
      </c>
      <c r="AD14" s="11" t="inlineStr">
        <is>
          <t>https://app.fireflies.ai/view/01KWGBVKBD29P2Q5B1D56XQXA8</t>
        </is>
      </c>
      <c r="AE14" s="11" t="inlineStr">
        <is>
          <t>https://app.fireflies.ai/view/01KWGBVKBD29P2Q5B1D56XQXA8</t>
        </is>
      </c>
    </row>
    <row r="15">
      <c r="A15" s="8" t="inlineStr">
        <is>
          <t>Saged NYC Beauty &amp; Wellness</t>
        </is>
      </c>
      <c r="B15" s="8" t="inlineStr">
        <is>
          <t>sagednyc@gmail.com</t>
        </is>
      </c>
      <c r="C15" s="9" t="n">
        <v>159</v>
      </c>
      <c r="D15" s="8" t="inlineStr">
        <is>
          <t>active</t>
        </is>
      </c>
      <c r="E15" s="23" t="n">
        <v>46206</v>
      </c>
      <c r="F15" s="23" t="n">
        <v>46226</v>
      </c>
      <c r="G15" s="8" t="n">
        <v>2</v>
      </c>
      <c r="H15" s="8" t="n">
        <v>2</v>
      </c>
      <c r="I15" s="31" t="inlineStr">
        <is>
          <t>Saged NYC Beauty &amp; Wellness X Zoca | Check In July</t>
        </is>
      </c>
      <c r="J15" s="8" t="b">
        <v>0</v>
      </c>
      <c r="K15" s="23" t="n"/>
      <c r="L15" s="8" t="b">
        <v>0</v>
      </c>
      <c r="M15" s="8" t="b">
        <v>0</v>
      </c>
      <c r="N15" s="8" t="b">
        <v>0</v>
      </c>
      <c r="O15" s="8" t="b">
        <v>0</v>
      </c>
      <c r="P15" s="8" t="n">
        <v>0</v>
      </c>
      <c r="Q15" s="8" t="n">
        <v>0</v>
      </c>
      <c r="R15" s="23" t="n"/>
      <c r="S15" s="8" t="b">
        <v>0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8" t="b">
        <v>1</v>
      </c>
      <c r="AA15" s="23" t="n">
        <v>46206</v>
      </c>
      <c r="AB15" s="8" t="n">
        <v>59</v>
      </c>
      <c r="AC15" s="23" t="n">
        <v>46226</v>
      </c>
      <c r="AD15" s="8" t="inlineStr">
        <is>
          <t>https://app.fireflies.ai/view/01KWMMM9YF2D3M244HJ4442SBS</t>
        </is>
      </c>
      <c r="AE15" s="8" t="inlineStr">
        <is>
          <t>https://app.fireflies.ai/view/01KY7PZTWWHAE021KQ5D8NT853</t>
        </is>
      </c>
    </row>
    <row r="16">
      <c r="A16" s="11" t="inlineStr">
        <is>
          <t>ZOCA</t>
        </is>
      </c>
      <c r="B16" s="11" t="inlineStr">
        <is>
          <t>fabulouscitysalon@gmail.com</t>
        </is>
      </c>
      <c r="C16" s="12" t="n">
        <v>200</v>
      </c>
      <c r="D16" s="11" t="inlineStr">
        <is>
          <t>active</t>
        </is>
      </c>
      <c r="E16" s="24" t="n">
        <v>46207</v>
      </c>
      <c r="F16" s="24" t="n">
        <v>46216</v>
      </c>
      <c r="G16" s="11" t="n">
        <v>2</v>
      </c>
      <c r="H16" s="11" t="n">
        <v>2</v>
      </c>
      <c r="I16" s="32" t="inlineStr">
        <is>
          <t>ZOCA &lt;&gt; Fabulouscity Beauty Salon</t>
        </is>
      </c>
      <c r="J16" s="11" t="b">
        <v>0</v>
      </c>
      <c r="K16" s="24" t="n"/>
      <c r="L16" s="11" t="b">
        <v>0</v>
      </c>
      <c r="M16" s="11" t="b">
        <v>0</v>
      </c>
      <c r="N16" s="11" t="b">
        <v>0</v>
      </c>
      <c r="O16" s="11" t="b">
        <v>0</v>
      </c>
      <c r="P16" s="11" t="n">
        <v>0</v>
      </c>
      <c r="Q16" s="11" t="n">
        <v>0</v>
      </c>
      <c r="R16" s="24" t="n"/>
      <c r="S16" s="11" t="b">
        <v>0</v>
      </c>
      <c r="T16" s="11" t="b">
        <v>0</v>
      </c>
      <c r="U16" s="11" t="b">
        <v>0</v>
      </c>
      <c r="V16" s="11" t="b">
        <v>1</v>
      </c>
      <c r="W16" s="11" t="b">
        <v>0</v>
      </c>
      <c r="X16" s="11" t="b">
        <v>0</v>
      </c>
      <c r="Y16" s="11" t="b">
        <v>0</v>
      </c>
      <c r="Z16" s="11" t="b">
        <v>1</v>
      </c>
      <c r="AA16" s="24" t="n">
        <v>46207</v>
      </c>
      <c r="AB16" s="11" t="n">
        <v>11</v>
      </c>
      <c r="AC16" s="24" t="n">
        <v>46216</v>
      </c>
      <c r="AD16" s="11" t="inlineStr">
        <is>
          <t>https://app.fireflies.ai/view/01KWMR7GGCP9H5BK5XA8171XVT</t>
        </is>
      </c>
      <c r="AE16" s="11" t="inlineStr">
        <is>
          <t>https://app.fireflies.ai/view/01KXEE3YCVKPKCAC3NZXNDVNR8</t>
        </is>
      </c>
    </row>
    <row r="17">
      <c r="A17" s="8" t="inlineStr">
        <is>
          <t>Wellness Your Way</t>
        </is>
      </c>
      <c r="B17" s="8" t="inlineStr">
        <is>
          <t>info@wellness-yourway.com</t>
        </is>
      </c>
      <c r="C17" s="9" t="n">
        <v>249</v>
      </c>
      <c r="D17" s="8" t="inlineStr">
        <is>
          <t>active</t>
        </is>
      </c>
      <c r="E17" s="23" t="n">
        <v>46209</v>
      </c>
      <c r="F17" s="23" t="n">
        <v>46223</v>
      </c>
      <c r="G17" s="8" t="n">
        <v>2</v>
      </c>
      <c r="H17" s="8" t="n">
        <v>1</v>
      </c>
      <c r="I17" s="31" t="inlineStr">
        <is>
          <t>Wellness Your Way X Zoca | Check In July</t>
        </is>
      </c>
      <c r="J17" s="8" t="b">
        <v>0</v>
      </c>
      <c r="K17" s="23" t="n"/>
      <c r="L17" s="8" t="b">
        <v>0</v>
      </c>
      <c r="M17" s="8" t="b">
        <v>0</v>
      </c>
      <c r="N17" s="8" t="b">
        <v>0</v>
      </c>
      <c r="O17" s="8" t="b">
        <v>0</v>
      </c>
      <c r="P17" s="8" t="n">
        <v>0</v>
      </c>
      <c r="Q17" s="8" t="n">
        <v>0</v>
      </c>
      <c r="R17" s="23" t="n"/>
      <c r="S17" s="8" t="b">
        <v>1</v>
      </c>
      <c r="T17" s="8" t="b">
        <v>1</v>
      </c>
      <c r="U17" s="8" t="b">
        <v>0</v>
      </c>
      <c r="V17" s="8" t="b">
        <v>1</v>
      </c>
      <c r="W17" s="8" t="b">
        <v>1</v>
      </c>
      <c r="X17" s="8" t="b">
        <v>0</v>
      </c>
      <c r="Y17" s="8" t="b">
        <v>0</v>
      </c>
      <c r="Z17" s="8" t="b">
        <v>1</v>
      </c>
      <c r="AA17" s="23" t="n">
        <v>46209</v>
      </c>
      <c r="AB17" s="8" t="n">
        <v>73</v>
      </c>
      <c r="AC17" s="23" t="n">
        <v>46209</v>
      </c>
      <c r="AD17" s="8" t="inlineStr">
        <is>
          <t>https://app.fireflies.ai/view/01KWVPTCMXKB5J9ZD0K6VW5GG7</t>
        </is>
      </c>
      <c r="AE17" s="8" t="inlineStr">
        <is>
          <t>https://app.fireflies.ai/view/01KWVPTCMXKB5J9ZD0K6VW5GG7</t>
        </is>
      </c>
    </row>
    <row r="18">
      <c r="A18" s="11" t="inlineStr">
        <is>
          <t>Essence Esthetics: Skin · Lashes · Brows</t>
        </is>
      </c>
      <c r="B18" s="11" t="inlineStr">
        <is>
          <t>eesthetics7@gmail.com</t>
        </is>
      </c>
      <c r="C18" s="12" t="n">
        <v>100</v>
      </c>
      <c r="D18" s="11" t="inlineStr">
        <is>
          <t>active</t>
        </is>
      </c>
      <c r="E18" s="24" t="n">
        <v>46209</v>
      </c>
      <c r="F18" s="24" t="n">
        <v>46231</v>
      </c>
      <c r="G18" s="11" t="n">
        <v>3</v>
      </c>
      <c r="H18" s="11" t="n">
        <v>1</v>
      </c>
      <c r="I18" s="32" t="inlineStr">
        <is>
          <t>Essence Esthetics: Skin · Lashes · Brows X Zoca | Check In July</t>
        </is>
      </c>
      <c r="J18" s="11" t="b">
        <v>0</v>
      </c>
      <c r="K18" s="24" t="n">
        <v>46210</v>
      </c>
      <c r="L18" s="11" t="b">
        <v>1</v>
      </c>
      <c r="M18" s="11" t="b">
        <v>1</v>
      </c>
      <c r="N18" s="11" t="b">
        <v>1</v>
      </c>
      <c r="O18" s="11" t="b">
        <v>1</v>
      </c>
      <c r="P18" s="11" t="n">
        <v>22</v>
      </c>
      <c r="Q18" s="11" t="n">
        <v>7</v>
      </c>
      <c r="R18" s="24" t="n">
        <v>46234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1</v>
      </c>
      <c r="AA18" s="24" t="n">
        <v>46210</v>
      </c>
      <c r="AB18" s="11" t="n">
        <v>138</v>
      </c>
      <c r="AC18" s="24" t="n">
        <v>46210</v>
      </c>
      <c r="AD18" s="11" t="inlineStr">
        <is>
          <t>https://app.fireflies.ai/view/01KWW3XDSQFPYC39AHE7X1QYEK</t>
        </is>
      </c>
      <c r="AE18" s="11" t="inlineStr">
        <is>
          <t>https://app.fireflies.ai/view/01KWW3XDSQFPYC39AHE7X1QYEK</t>
        </is>
      </c>
    </row>
    <row r="19">
      <c r="A19" s="8" t="inlineStr">
        <is>
          <t>Donna Skin and Body Care</t>
        </is>
      </c>
      <c r="B19" s="8" t="inlineStr">
        <is>
          <t>donna.skin@gmail.com</t>
        </is>
      </c>
      <c r="C19" s="9" t="n">
        <v>150</v>
      </c>
      <c r="D19" s="8" t="inlineStr">
        <is>
          <t>active</t>
        </is>
      </c>
      <c r="E19" s="23" t="n">
        <v>46209</v>
      </c>
      <c r="F19" s="23" t="n">
        <v>46224</v>
      </c>
      <c r="G19" s="8" t="n">
        <v>4</v>
      </c>
      <c r="H19" s="8" t="n">
        <v>2</v>
      </c>
      <c r="I19" s="31" t="inlineStr">
        <is>
          <t>Donna Skin and Body Care X Zoca | Check In April</t>
        </is>
      </c>
      <c r="J19" s="8" t="b">
        <v>1</v>
      </c>
      <c r="K19" s="23" t="n">
        <v>46169</v>
      </c>
      <c r="L19" s="8" t="b">
        <v>1</v>
      </c>
      <c r="M19" s="8" t="b">
        <v>1</v>
      </c>
      <c r="N19" s="8" t="b">
        <v>1</v>
      </c>
      <c r="O19" s="8" t="b">
        <v>1</v>
      </c>
      <c r="P19" s="8" t="n">
        <v>104</v>
      </c>
      <c r="Q19" s="8" t="n">
        <v>6</v>
      </c>
      <c r="R19" s="23" t="n">
        <v>46237</v>
      </c>
      <c r="S19" s="8" t="b">
        <v>0</v>
      </c>
      <c r="T19" s="8" t="b">
        <v>0</v>
      </c>
      <c r="U19" s="8" t="b">
        <v>0</v>
      </c>
      <c r="V19" s="8" t="b">
        <v>0</v>
      </c>
      <c r="W19" s="8" t="b">
        <v>0</v>
      </c>
      <c r="X19" s="8" t="b">
        <v>0</v>
      </c>
      <c r="Y19" s="8" t="b">
        <v>0</v>
      </c>
      <c r="Z19" s="8" t="b">
        <v>1</v>
      </c>
      <c r="AA19" s="23" t="n">
        <v>46216</v>
      </c>
      <c r="AB19" s="8" t="n">
        <v>33</v>
      </c>
      <c r="AC19" s="23" t="n">
        <v>46218</v>
      </c>
      <c r="AD19" s="8" t="inlineStr">
        <is>
          <t>https://app.fireflies.ai/view/01KWZ35QJGW8H8Y89FW82ARM9C</t>
        </is>
      </c>
      <c r="AE19" s="8" t="inlineStr">
        <is>
          <t>https://app.fireflies.ai/view/01KXE8RVTRA5HEWFSJA8RCSJTT</t>
        </is>
      </c>
    </row>
    <row r="20">
      <c r="A20" s="11" t="inlineStr">
        <is>
          <t>Xanzalyn Beauty &amp; Dermacare</t>
        </is>
      </c>
      <c r="B20" s="11" t="inlineStr">
        <is>
          <t>pamperedimagellc@gmail.com</t>
        </is>
      </c>
      <c r="C20" s="12" t="n"/>
      <c r="D20" s="11" t="n"/>
      <c r="E20" s="24" t="n">
        <v>46209</v>
      </c>
      <c r="F20" s="24" t="n">
        <v>46232</v>
      </c>
      <c r="G20" s="11" t="n">
        <v>2</v>
      </c>
      <c r="H20" s="11" t="n">
        <v>2</v>
      </c>
      <c r="I20" s="32" t="inlineStr">
        <is>
          <t>Xanzalyn Beauty &amp; Dermacare X Zoca | Check In July</t>
        </is>
      </c>
      <c r="J20" s="11" t="b">
        <v>0</v>
      </c>
      <c r="K20" s="24" t="n">
        <v>46232</v>
      </c>
      <c r="L20" s="11" t="b">
        <v>1</v>
      </c>
      <c r="M20" s="11" t="b">
        <v>0</v>
      </c>
      <c r="N20" s="11" t="b">
        <v>0</v>
      </c>
      <c r="O20" s="11" t="b">
        <v>0</v>
      </c>
      <c r="P20" s="11" t="n">
        <v>0</v>
      </c>
      <c r="Q20" s="11" t="n">
        <v>0</v>
      </c>
      <c r="R20" s="24" t="n"/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24" t="n">
        <v>46209</v>
      </c>
      <c r="AB20" s="11" t="n">
        <v>18</v>
      </c>
      <c r="AC20" s="24" t="n">
        <v>46232</v>
      </c>
      <c r="AD20" s="11" t="inlineStr">
        <is>
          <t>https://app.fireflies.ai/view/01KWW3B796KPZEWZBRJE2D374M</t>
        </is>
      </c>
      <c r="AE20" s="11" t="inlineStr">
        <is>
          <t>https://app.fireflies.ai/view/01KYQ1NKE2JBW3345GG4Q8EACJ</t>
        </is>
      </c>
    </row>
    <row r="21">
      <c r="A21" s="8" t="inlineStr">
        <is>
          <t>Lasting Beauty Spa</t>
        </is>
      </c>
      <c r="B21" s="8" t="inlineStr">
        <is>
          <t>info@lastingbeautyspa.com</t>
        </is>
      </c>
      <c r="C21" s="9" t="n">
        <v>120</v>
      </c>
      <c r="D21" s="8" t="inlineStr">
        <is>
          <t>active</t>
        </is>
      </c>
      <c r="E21" s="23" t="n">
        <v>46210</v>
      </c>
      <c r="F21" s="23" t="n">
        <v>46210</v>
      </c>
      <c r="G21" s="8" t="n">
        <v>1</v>
      </c>
      <c r="H21" s="8" t="n">
        <v>1</v>
      </c>
      <c r="I21" s="31" t="inlineStr">
        <is>
          <t>Lasting Beauty Spa X Zoca | Check In February</t>
        </is>
      </c>
      <c r="J21" s="8" t="b">
        <v>0</v>
      </c>
      <c r="K21" s="23" t="n"/>
      <c r="L21" s="8" t="b">
        <v>0</v>
      </c>
      <c r="M21" s="8" t="b">
        <v>0</v>
      </c>
      <c r="N21" s="8" t="b">
        <v>0</v>
      </c>
      <c r="O21" s="8" t="b">
        <v>0</v>
      </c>
      <c r="P21" s="8" t="n">
        <v>0</v>
      </c>
      <c r="Q21" s="8" t="n">
        <v>0</v>
      </c>
      <c r="R21" s="23" t="n"/>
      <c r="S21" s="8" t="b">
        <v>0</v>
      </c>
      <c r="T21" s="8" t="b">
        <v>0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23" t="n">
        <v>46210</v>
      </c>
      <c r="AB21" s="8" t="n">
        <v>44</v>
      </c>
      <c r="AC21" s="23" t="n">
        <v>46210</v>
      </c>
      <c r="AD21" s="8" t="inlineStr">
        <is>
          <t>https://app.fireflies.ai/view/01KWSEMR4B4B1B2JXMJWKSTFVM</t>
        </is>
      </c>
      <c r="AE21" s="8" t="inlineStr">
        <is>
          <t>https://app.fireflies.ai/view/01KWSEMR4B4B1B2JXMJWKSTFVM</t>
        </is>
      </c>
    </row>
    <row r="22">
      <c r="A22" s="11" t="inlineStr">
        <is>
          <t>Nbraidstyles</t>
        </is>
      </c>
      <c r="B22" s="11" t="inlineStr">
        <is>
          <t>erudiceazonvide@gmail.com</t>
        </is>
      </c>
      <c r="C22" s="12" t="n">
        <v>135</v>
      </c>
      <c r="D22" s="11" t="inlineStr">
        <is>
          <t>active</t>
        </is>
      </c>
      <c r="E22" s="24" t="n">
        <v>46210</v>
      </c>
      <c r="F22" s="24" t="n">
        <v>46210</v>
      </c>
      <c r="G22" s="11" t="n">
        <v>1</v>
      </c>
      <c r="H22" s="11" t="n">
        <v>1</v>
      </c>
      <c r="I22" s="32" t="inlineStr">
        <is>
          <t>Nbraidstyles X Zoca | Check In July</t>
        </is>
      </c>
      <c r="J22" s="11" t="b">
        <v>1</v>
      </c>
      <c r="K22" s="24" t="n">
        <v>46052</v>
      </c>
      <c r="L22" s="11" t="b">
        <v>1</v>
      </c>
      <c r="M22" s="11" t="b">
        <v>1</v>
      </c>
      <c r="N22" s="11" t="b">
        <v>1</v>
      </c>
      <c r="O22" s="11" t="b">
        <v>1</v>
      </c>
      <c r="P22" s="11" t="n">
        <v>273</v>
      </c>
      <c r="Q22" s="11" t="n">
        <v>73</v>
      </c>
      <c r="R22" s="24" t="n">
        <v>46237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24" t="n">
        <v>46210</v>
      </c>
      <c r="AB22" s="11" t="n">
        <v>19</v>
      </c>
      <c r="AC22" s="24" t="n">
        <v>46210</v>
      </c>
      <c r="AD22" s="11" t="inlineStr">
        <is>
          <t>https://app.fireflies.ai/view/01KWYDAQMWGWG0KAQN11KWANJQ</t>
        </is>
      </c>
      <c r="AE22" s="11" t="inlineStr">
        <is>
          <t>https://app.fireflies.ai/view/01KWYDAQMWGWG0KAQN11KWANJQ</t>
        </is>
      </c>
    </row>
    <row r="23">
      <c r="A23" s="8" t="inlineStr">
        <is>
          <t>Glow Skin Care</t>
        </is>
      </c>
      <c r="B23" s="8" t="inlineStr">
        <is>
          <t>umakemeglow@gmail.com</t>
        </is>
      </c>
      <c r="C23" s="9" t="n">
        <v>100</v>
      </c>
      <c r="D23" s="8" t="inlineStr">
        <is>
          <t>active</t>
        </is>
      </c>
      <c r="E23" s="23" t="n">
        <v>46210</v>
      </c>
      <c r="F23" s="23" t="n">
        <v>46227</v>
      </c>
      <c r="G23" s="8" t="n">
        <v>3</v>
      </c>
      <c r="H23" s="8" t="n">
        <v>1</v>
      </c>
      <c r="I23" s="31" t="inlineStr">
        <is>
          <t>Glow Skin Care X Zoca | Check In July</t>
        </is>
      </c>
      <c r="J23" s="8" t="b">
        <v>0</v>
      </c>
      <c r="K23" s="23" t="n"/>
      <c r="L23" s="8" t="b">
        <v>0</v>
      </c>
      <c r="M23" s="8" t="b">
        <v>0</v>
      </c>
      <c r="N23" s="8" t="b">
        <v>0</v>
      </c>
      <c r="O23" s="8" t="b">
        <v>0</v>
      </c>
      <c r="P23" s="8" t="n">
        <v>0</v>
      </c>
      <c r="Q23" s="8" t="n">
        <v>0</v>
      </c>
      <c r="R23" s="23" t="n"/>
      <c r="S23" s="8" t="b">
        <v>0</v>
      </c>
      <c r="T23" s="8" t="b">
        <v>1</v>
      </c>
      <c r="U23" s="8" t="b">
        <v>0</v>
      </c>
      <c r="V23" s="8" t="b">
        <v>0</v>
      </c>
      <c r="W23" s="8" t="b">
        <v>0</v>
      </c>
      <c r="X23" s="8" t="b">
        <v>0</v>
      </c>
      <c r="Y23" s="8" t="b">
        <v>0</v>
      </c>
      <c r="Z23" s="8" t="b">
        <v>1</v>
      </c>
      <c r="AA23" s="23" t="n">
        <v>46210</v>
      </c>
      <c r="AB23" s="8" t="n"/>
      <c r="AC23" s="23" t="n">
        <v>46210</v>
      </c>
      <c r="AD23" s="8" t="inlineStr">
        <is>
          <t>https://app.fireflies.ai/view/01KWSP6FJGJ1SM0G3G1AJCRD26</t>
        </is>
      </c>
      <c r="AE23" s="8" t="inlineStr">
        <is>
          <t>https://app.fireflies.ai/view/01KWSP6FJGJ1SM0G3G1AJCRD26</t>
        </is>
      </c>
    </row>
    <row r="24">
      <c r="A24" s="11" t="inlineStr">
        <is>
          <t>Truve Fit</t>
        </is>
      </c>
      <c r="B24" s="11" t="inlineStr">
        <is>
          <t>alison@truvefit.com</t>
        </is>
      </c>
      <c r="C24" s="12" t="n"/>
      <c r="D24" s="11" t="n"/>
      <c r="E24" s="24" t="n">
        <v>46210</v>
      </c>
      <c r="F24" s="24" t="n">
        <v>46210</v>
      </c>
      <c r="G24" s="11" t="n">
        <v>1</v>
      </c>
      <c r="H24" s="11" t="n">
        <v>1</v>
      </c>
      <c r="I24" s="32" t="inlineStr">
        <is>
          <t>Truve Fit X Zoca | Check In July</t>
        </is>
      </c>
      <c r="J24" s="11" t="b">
        <v>0</v>
      </c>
      <c r="K24" s="24" t="n"/>
      <c r="L24" s="11" t="b">
        <v>0</v>
      </c>
      <c r="M24" s="11" t="b">
        <v>0</v>
      </c>
      <c r="N24" s="11" t="b">
        <v>0</v>
      </c>
      <c r="O24" s="11" t="b">
        <v>0</v>
      </c>
      <c r="P24" s="11" t="n">
        <v>0</v>
      </c>
      <c r="Q24" s="11" t="n">
        <v>0</v>
      </c>
      <c r="R24" s="24" t="n"/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1</v>
      </c>
      <c r="AA24" s="24" t="n">
        <v>46210</v>
      </c>
      <c r="AB24" s="11" t="n">
        <v>43</v>
      </c>
      <c r="AC24" s="24" t="n">
        <v>46210</v>
      </c>
      <c r="AD24" s="11" t="inlineStr">
        <is>
          <t>https://app.fireflies.ai/view/01KWX09A38MTKGHMKEQA20FXKT</t>
        </is>
      </c>
      <c r="AE24" s="11" t="inlineStr">
        <is>
          <t>https://app.fireflies.ai/view/01KWX09A38MTKGHMKEQA20FXKT</t>
        </is>
      </c>
    </row>
    <row r="25">
      <c r="A25" s="8" t="inlineStr">
        <is>
          <t>All Love Collection</t>
        </is>
      </c>
      <c r="B25" s="8" t="inlineStr">
        <is>
          <t>we@alllovecollections.com</t>
        </is>
      </c>
      <c r="C25" s="9" t="n"/>
      <c r="D25" s="8" t="n"/>
      <c r="E25" s="23" t="n">
        <v>46210</v>
      </c>
      <c r="F25" s="23" t="n">
        <v>46223</v>
      </c>
      <c r="G25" s="8" t="n">
        <v>4</v>
      </c>
      <c r="H25" s="8" t="n">
        <v>3</v>
      </c>
      <c r="I25" s="31" t="inlineStr">
        <is>
          <t>Zoca &lt;&gt; All Love Collections</t>
        </is>
      </c>
      <c r="J25" s="8" t="b">
        <v>0</v>
      </c>
      <c r="K25" s="23" t="n"/>
      <c r="L25" s="8" t="b">
        <v>0</v>
      </c>
      <c r="M25" s="8" t="b">
        <v>0</v>
      </c>
      <c r="N25" s="8" t="b">
        <v>0</v>
      </c>
      <c r="O25" s="8" t="b">
        <v>0</v>
      </c>
      <c r="P25" s="8" t="n">
        <v>0</v>
      </c>
      <c r="Q25" s="8" t="n">
        <v>0</v>
      </c>
      <c r="R25" s="23" t="n"/>
      <c r="S25" s="8" t="b">
        <v>0</v>
      </c>
      <c r="T25" s="8" t="b">
        <v>0</v>
      </c>
      <c r="U25" s="8" t="b">
        <v>0</v>
      </c>
      <c r="V25" s="8" t="b">
        <v>0</v>
      </c>
      <c r="W25" s="8" t="b">
        <v>0</v>
      </c>
      <c r="X25" s="8" t="b">
        <v>0</v>
      </c>
      <c r="Y25" s="8" t="b">
        <v>0</v>
      </c>
      <c r="Z25" s="8" t="b">
        <v>0</v>
      </c>
      <c r="AA25" s="23" t="n">
        <v>46210</v>
      </c>
      <c r="AB25" s="8" t="n">
        <v>84</v>
      </c>
      <c r="AC25" s="23" t="n">
        <v>46223</v>
      </c>
      <c r="AD25" s="8" t="inlineStr">
        <is>
          <t>https://app.fireflies.ai/view/01KWYZ11PSSAV6FVBDCZHKE3QA</t>
        </is>
      </c>
      <c r="AE25" s="8" t="inlineStr">
        <is>
          <t>https://app.fireflies.ai/view/01KXWAE7DJECPTQGX688MFETEP</t>
        </is>
      </c>
    </row>
    <row r="26">
      <c r="A26" s="11" t="inlineStr">
        <is>
          <t>Just Because Hair Therapy Salon</t>
        </is>
      </c>
      <c r="B26" s="11" t="inlineStr">
        <is>
          <t>justbecausesalon@me.com</t>
        </is>
      </c>
      <c r="C26" s="12" t="n">
        <v>249</v>
      </c>
      <c r="D26" s="11" t="inlineStr">
        <is>
          <t>active</t>
        </is>
      </c>
      <c r="E26" s="24" t="n">
        <v>46210</v>
      </c>
      <c r="F26" s="24" t="n">
        <v>46210</v>
      </c>
      <c r="G26" s="11" t="n">
        <v>1</v>
      </c>
      <c r="H26" s="11" t="n">
        <v>1</v>
      </c>
      <c r="I26" s="32" t="inlineStr">
        <is>
          <t>Just Because Hair Therapy Salon X Zoca | Check In July</t>
        </is>
      </c>
      <c r="J26" s="11" t="b">
        <v>0</v>
      </c>
      <c r="K26" s="24" t="n">
        <v>46210</v>
      </c>
      <c r="L26" s="11" t="b">
        <v>1</v>
      </c>
      <c r="M26" s="11" t="b">
        <v>1</v>
      </c>
      <c r="N26" s="11" t="b">
        <v>1</v>
      </c>
      <c r="O26" s="11" t="b">
        <v>1</v>
      </c>
      <c r="P26" s="11" t="n">
        <v>15</v>
      </c>
      <c r="Q26" s="11" t="n">
        <v>6</v>
      </c>
      <c r="R26" s="24" t="n">
        <v>46234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1</v>
      </c>
      <c r="AA26" s="24" t="n">
        <v>46210</v>
      </c>
      <c r="AB26" s="11" t="n">
        <v>60</v>
      </c>
      <c r="AC26" s="24" t="n">
        <v>46210</v>
      </c>
      <c r="AD26" s="11" t="inlineStr">
        <is>
          <t>https://app.fireflies.ai/view/01KWY3H2GSW906CGXTJ5XJCQ9E</t>
        </is>
      </c>
      <c r="AE26" s="11" t="inlineStr">
        <is>
          <t>https://app.fireflies.ai/view/01KWY3H2GSW906CGXTJ5XJCQ9E</t>
        </is>
      </c>
    </row>
    <row r="27">
      <c r="A27" s="8" t="inlineStr">
        <is>
          <t>Lash and Skin Studio</t>
        </is>
      </c>
      <c r="B27" s="8" t="inlineStr">
        <is>
          <t>erica.business14@gmail.com</t>
        </is>
      </c>
      <c r="C27" s="9" t="n">
        <v>299</v>
      </c>
      <c r="D27" s="8" t="inlineStr">
        <is>
          <t>active</t>
        </is>
      </c>
      <c r="E27" s="23" t="n">
        <v>46210</v>
      </c>
      <c r="F27" s="23" t="n">
        <v>46210</v>
      </c>
      <c r="G27" s="8" t="n">
        <v>1</v>
      </c>
      <c r="H27" s="8" t="n">
        <v>1</v>
      </c>
      <c r="I27" s="31" t="inlineStr">
        <is>
          <t>Lash and Skin Studio X Zoca | Check In July</t>
        </is>
      </c>
      <c r="J27" s="8" t="b">
        <v>0</v>
      </c>
      <c r="K27" s="23" t="n"/>
      <c r="L27" s="8" t="b">
        <v>0</v>
      </c>
      <c r="M27" s="8" t="b">
        <v>0</v>
      </c>
      <c r="N27" s="8" t="b">
        <v>0</v>
      </c>
      <c r="O27" s="8" t="b">
        <v>0</v>
      </c>
      <c r="P27" s="8" t="n">
        <v>0</v>
      </c>
      <c r="Q27" s="8" t="n">
        <v>0</v>
      </c>
      <c r="R27" s="23" t="n"/>
      <c r="S27" s="8" t="b">
        <v>0</v>
      </c>
      <c r="T27" s="8" t="b">
        <v>0</v>
      </c>
      <c r="U27" s="8" t="b">
        <v>1</v>
      </c>
      <c r="V27" s="8" t="b">
        <v>0</v>
      </c>
      <c r="W27" s="8" t="b">
        <v>1</v>
      </c>
      <c r="X27" s="8" t="b">
        <v>0</v>
      </c>
      <c r="Y27" s="8" t="b">
        <v>0</v>
      </c>
      <c r="Z27" s="8" t="b">
        <v>1</v>
      </c>
      <c r="AA27" s="23" t="n">
        <v>46210</v>
      </c>
      <c r="AB27" s="8" t="n">
        <v>46</v>
      </c>
      <c r="AC27" s="23" t="n">
        <v>46210</v>
      </c>
      <c r="AD27" s="8" t="inlineStr">
        <is>
          <t>https://app.fireflies.ai/view/01KWWETADJJ1REW0AQYSWQ3DTZ</t>
        </is>
      </c>
      <c r="AE27" s="8" t="inlineStr">
        <is>
          <t>https://app.fireflies.ai/view/01KWWETADJJ1REW0AQYSWQ3DTZ</t>
        </is>
      </c>
    </row>
    <row r="28">
      <c r="A28" s="11" t="inlineStr">
        <is>
          <t>Anu &amp; Isabella</t>
        </is>
      </c>
      <c r="B28" s="11" t="inlineStr">
        <is>
          <t>bellaxxx19@gmail.com</t>
        </is>
      </c>
      <c r="C28" s="12" t="n">
        <v>100</v>
      </c>
      <c r="D28" s="11" t="inlineStr">
        <is>
          <t>active</t>
        </is>
      </c>
      <c r="E28" s="24" t="n">
        <v>46211</v>
      </c>
      <c r="F28" s="24" t="n">
        <v>46211</v>
      </c>
      <c r="G28" s="11" t="n">
        <v>1</v>
      </c>
      <c r="H28" s="11" t="n">
        <v>1</v>
      </c>
      <c r="I28" s="32" t="inlineStr">
        <is>
          <t>Anu &amp; Isabella</t>
        </is>
      </c>
      <c r="J28" s="11" t="b">
        <v>0</v>
      </c>
      <c r="K28" s="24" t="n"/>
      <c r="L28" s="11" t="b">
        <v>0</v>
      </c>
      <c r="M28" s="11" t="b">
        <v>0</v>
      </c>
      <c r="N28" s="11" t="b">
        <v>0</v>
      </c>
      <c r="O28" s="11" t="b">
        <v>0</v>
      </c>
      <c r="P28" s="11" t="n">
        <v>0</v>
      </c>
      <c r="Q28" s="11" t="n">
        <v>0</v>
      </c>
      <c r="R28" s="24" t="n"/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24" t="n">
        <v>46211</v>
      </c>
      <c r="AB28" s="11" t="n">
        <v>12</v>
      </c>
      <c r="AC28" s="24" t="n">
        <v>46211</v>
      </c>
      <c r="AD28" s="11" t="inlineStr">
        <is>
          <t>https://app.fireflies.ai/view/01KWZ6ZG7DNJWDF79P4PJ1DNPF</t>
        </is>
      </c>
      <c r="AE28" s="11" t="inlineStr">
        <is>
          <t>https://app.fireflies.ai/view/01KWZ6ZG7DNJWDF79P4PJ1DNPF</t>
        </is>
      </c>
    </row>
    <row r="29">
      <c r="A29" s="8" t="inlineStr">
        <is>
          <t>Ksweetshaircompany® Medical Wigs &amp; Hair Restoration</t>
        </is>
      </c>
      <c r="B29" s="8" t="inlineStr">
        <is>
          <t>Ksweetshaircompany@gmail.com</t>
        </is>
      </c>
      <c r="C29" s="9" t="n"/>
      <c r="D29" s="8" t="n"/>
      <c r="E29" s="23" t="n">
        <v>46211</v>
      </c>
      <c r="F29" s="23" t="n">
        <v>46232</v>
      </c>
      <c r="G29" s="8" t="n">
        <v>2</v>
      </c>
      <c r="H29" s="8" t="n">
        <v>1</v>
      </c>
      <c r="I29" s="31" t="inlineStr">
        <is>
          <t xml:space="preserve">Ksweetshaircompany® Medical Wigs &amp; Hair Restoration X Zoca | Check In </t>
        </is>
      </c>
      <c r="J29" s="8" t="b">
        <v>0</v>
      </c>
      <c r="K29" s="23" t="n"/>
      <c r="L29" s="8" t="b">
        <v>0</v>
      </c>
      <c r="M29" s="8" t="b">
        <v>0</v>
      </c>
      <c r="N29" s="8" t="b">
        <v>0</v>
      </c>
      <c r="O29" s="8" t="b">
        <v>0</v>
      </c>
      <c r="P29" s="8" t="n">
        <v>0</v>
      </c>
      <c r="Q29" s="8" t="n">
        <v>0</v>
      </c>
      <c r="R29" s="23" t="n"/>
      <c r="S29" s="8" t="b">
        <v>0</v>
      </c>
      <c r="T29" s="8" t="b">
        <v>0</v>
      </c>
      <c r="U29" s="8" t="b">
        <v>0</v>
      </c>
      <c r="V29" s="8" t="b">
        <v>0</v>
      </c>
      <c r="W29" s="8" t="b">
        <v>0</v>
      </c>
      <c r="X29" s="8" t="b">
        <v>0</v>
      </c>
      <c r="Y29" s="8" t="b">
        <v>0</v>
      </c>
      <c r="Z29" s="8" t="b">
        <v>0</v>
      </c>
      <c r="AA29" s="23" t="n">
        <v>46211</v>
      </c>
      <c r="AB29" s="8" t="n"/>
      <c r="AC29" s="23" t="n">
        <v>46211</v>
      </c>
      <c r="AD29" s="8" t="inlineStr">
        <is>
          <t>https://app.fireflies.ai/view/01KWYCRBSZK2MKY8K7EFYNQZ8D</t>
        </is>
      </c>
      <c r="AE29" s="8" t="inlineStr">
        <is>
          <t>https://app.fireflies.ai/view/01KWYCRBSZK2MKY8K7EFYNQZ8D</t>
        </is>
      </c>
    </row>
    <row r="30">
      <c r="A30" s="11" t="inlineStr">
        <is>
          <t>mcbh58</t>
        </is>
      </c>
      <c r="B30" s="11" t="inlineStr">
        <is>
          <t>mcbh58@gmail.com</t>
        </is>
      </c>
      <c r="C30" s="12" t="n">
        <v>199</v>
      </c>
      <c r="D30" s="11" t="inlineStr">
        <is>
          <t>active</t>
        </is>
      </c>
      <c r="E30" s="24" t="n">
        <v>46211</v>
      </c>
      <c r="F30" s="24" t="n">
        <v>46211</v>
      </c>
      <c r="G30" s="11" t="n">
        <v>1</v>
      </c>
      <c r="H30" s="11" t="n">
        <v>1</v>
      </c>
      <c r="I30" s="32" t="inlineStr">
        <is>
          <t>CHECK-IN MEET</t>
        </is>
      </c>
      <c r="J30" s="11" t="b">
        <v>0</v>
      </c>
      <c r="K30" s="24" t="n"/>
      <c r="L30" s="11" t="b">
        <v>0</v>
      </c>
      <c r="M30" s="11" t="b">
        <v>0</v>
      </c>
      <c r="N30" s="11" t="b">
        <v>0</v>
      </c>
      <c r="O30" s="11" t="b">
        <v>0</v>
      </c>
      <c r="P30" s="11" t="n">
        <v>0</v>
      </c>
      <c r="Q30" s="11" t="n">
        <v>0</v>
      </c>
      <c r="R30" s="24" t="n"/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1</v>
      </c>
      <c r="X30" s="11" t="b">
        <v>0</v>
      </c>
      <c r="Y30" s="11" t="b">
        <v>0</v>
      </c>
      <c r="Z30" s="11" t="b">
        <v>1</v>
      </c>
      <c r="AA30" s="24" t="n">
        <v>46211</v>
      </c>
      <c r="AB30" s="11" t="n"/>
      <c r="AC30" s="24" t="n">
        <v>46211</v>
      </c>
      <c r="AD30" s="11" t="inlineStr">
        <is>
          <t>https://app.fireflies.ai/view/01KWJJKZN0M986T9CR1CM0ZPK8</t>
        </is>
      </c>
      <c r="AE30" s="11" t="inlineStr">
        <is>
          <t>https://app.fireflies.ai/view/01KWJJKZN0M986T9CR1CM0ZPK8</t>
        </is>
      </c>
    </row>
    <row r="31">
      <c r="A31" s="8" t="inlineStr">
        <is>
          <t>Beverly Beauty Skincare &amp; Spa</t>
        </is>
      </c>
      <c r="B31" s="8" t="inlineStr">
        <is>
          <t>beverlybeauty06@gmail.com</t>
        </is>
      </c>
      <c r="C31" s="9" t="n">
        <v>149</v>
      </c>
      <c r="D31" s="8" t="inlineStr">
        <is>
          <t>active</t>
        </is>
      </c>
      <c r="E31" s="23" t="n">
        <v>46211</v>
      </c>
      <c r="F31" s="23" t="n">
        <v>46211</v>
      </c>
      <c r="G31" s="8" t="n">
        <v>1</v>
      </c>
      <c r="H31" s="8" t="n">
        <v>1</v>
      </c>
      <c r="I31" s="31" t="inlineStr">
        <is>
          <t>Beverly Beauty Skincare &amp; Spa | Facials|Skin Rejuvenation |lashes| wax</t>
        </is>
      </c>
      <c r="J31" s="8" t="b">
        <v>0</v>
      </c>
      <c r="K31" s="23" t="n"/>
      <c r="L31" s="8" t="b">
        <v>0</v>
      </c>
      <c r="M31" s="8" t="b">
        <v>0</v>
      </c>
      <c r="N31" s="8" t="b">
        <v>0</v>
      </c>
      <c r="O31" s="8" t="b">
        <v>0</v>
      </c>
      <c r="P31" s="8" t="n">
        <v>0</v>
      </c>
      <c r="Q31" s="8" t="n">
        <v>0</v>
      </c>
      <c r="R31" s="23" t="n"/>
      <c r="S31" s="8" t="b">
        <v>0</v>
      </c>
      <c r="T31" s="8" t="b">
        <v>0</v>
      </c>
      <c r="U31" s="8" t="b">
        <v>0</v>
      </c>
      <c r="V31" s="8" t="b">
        <v>0</v>
      </c>
      <c r="W31" s="8" t="b">
        <v>1</v>
      </c>
      <c r="X31" s="8" t="b">
        <v>0</v>
      </c>
      <c r="Y31" s="8" t="b">
        <v>0</v>
      </c>
      <c r="Z31" s="8" t="b">
        <v>0</v>
      </c>
      <c r="AA31" s="23" t="n">
        <v>46211</v>
      </c>
      <c r="AB31" s="8" t="n">
        <v>32</v>
      </c>
      <c r="AC31" s="23" t="n">
        <v>46211</v>
      </c>
      <c r="AD31" s="8" t="inlineStr">
        <is>
          <t>https://app.fireflies.ai/view/01KWZ6G71XX95MZGN242RTERVN</t>
        </is>
      </c>
      <c r="AE31" s="8" t="inlineStr">
        <is>
          <t>https://app.fireflies.ai/view/01KWZ6G71XX95MZGN242RTERVN</t>
        </is>
      </c>
    </row>
    <row r="32">
      <c r="A32" s="11" t="inlineStr">
        <is>
          <t>Anu &amp; Deborah- Satori Massage</t>
        </is>
      </c>
      <c r="B32" s="11" t="inlineStr">
        <is>
          <t>debhpc@gmail.com</t>
        </is>
      </c>
      <c r="C32" s="12" t="n">
        <v>250</v>
      </c>
      <c r="D32" s="11" t="inlineStr">
        <is>
          <t>active</t>
        </is>
      </c>
      <c r="E32" s="24" t="n">
        <v>46211</v>
      </c>
      <c r="F32" s="24" t="n">
        <v>46230</v>
      </c>
      <c r="G32" s="11" t="n">
        <v>3</v>
      </c>
      <c r="H32" s="11" t="n">
        <v>2</v>
      </c>
      <c r="I32" s="32" t="inlineStr">
        <is>
          <t>Anu &amp; Deborah- Satori Massage</t>
        </is>
      </c>
      <c r="J32" s="11" t="b">
        <v>0</v>
      </c>
      <c r="K32" s="24" t="n"/>
      <c r="L32" s="11" t="b">
        <v>0</v>
      </c>
      <c r="M32" s="11" t="b">
        <v>0</v>
      </c>
      <c r="N32" s="11" t="b">
        <v>0</v>
      </c>
      <c r="O32" s="11" t="b">
        <v>0</v>
      </c>
      <c r="P32" s="11" t="n">
        <v>0</v>
      </c>
      <c r="Q32" s="11" t="n">
        <v>0</v>
      </c>
      <c r="R32" s="24" t="n"/>
      <c r="S32" s="11" t="b">
        <v>0</v>
      </c>
      <c r="T32" s="11" t="b">
        <v>1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24" t="n">
        <v>46216</v>
      </c>
      <c r="AB32" s="11" t="n">
        <v>183</v>
      </c>
      <c r="AC32" s="24" t="n">
        <v>46230</v>
      </c>
      <c r="AD32" s="11" t="inlineStr">
        <is>
          <t>https://app.fireflies.ai/view/01KX9HGY3F1FE7NV3FB7Q8GK4W</t>
        </is>
      </c>
      <c r="AE32" s="11" t="inlineStr">
        <is>
          <t>https://app.fireflies.ai/view/01KYJ1ZCG58VKPE4ZNJVJ2ZW9K</t>
        </is>
      </c>
    </row>
    <row r="33">
      <c r="A33" s="8" t="inlineStr">
        <is>
          <t>Perfectly Bare Wax</t>
        </is>
      </c>
      <c r="B33" s="8" t="inlineStr">
        <is>
          <t>perfectlybarewaxbar@gmail.com</t>
        </is>
      </c>
      <c r="C33" s="9" t="n">
        <v>746</v>
      </c>
      <c r="D33" s="8" t="inlineStr">
        <is>
          <t>active</t>
        </is>
      </c>
      <c r="E33" s="23" t="n">
        <v>46211</v>
      </c>
      <c r="F33" s="23" t="n">
        <v>46211</v>
      </c>
      <c r="G33" s="8" t="n">
        <v>1</v>
      </c>
      <c r="H33" s="8" t="n">
        <v>1</v>
      </c>
      <c r="I33" s="31" t="inlineStr">
        <is>
          <t>Perfectly Bare Wax X Zoca | Social Media Onboarding</t>
        </is>
      </c>
      <c r="J33" s="8" t="b">
        <v>0</v>
      </c>
      <c r="K33" s="23" t="n"/>
      <c r="L33" s="8" t="b">
        <v>0</v>
      </c>
      <c r="M33" s="8" t="b">
        <v>0</v>
      </c>
      <c r="N33" s="8" t="b">
        <v>0</v>
      </c>
      <c r="O33" s="8" t="b">
        <v>0</v>
      </c>
      <c r="P33" s="8" t="n">
        <v>0</v>
      </c>
      <c r="Q33" s="8" t="n">
        <v>0</v>
      </c>
      <c r="R33" s="23" t="n"/>
      <c r="S33" s="8" t="b">
        <v>0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8" t="b">
        <v>0</v>
      </c>
      <c r="AA33" s="23" t="n">
        <v>46211</v>
      </c>
      <c r="AB33" s="8" t="n"/>
      <c r="AC33" s="23" t="n">
        <v>46211</v>
      </c>
      <c r="AD33" s="8" t="inlineStr">
        <is>
          <t>https://app.fireflies.ai/view/01KWZEF6KNDECHX8JBN2330AQQ</t>
        </is>
      </c>
      <c r="AE33" s="8" t="inlineStr">
        <is>
          <t>https://app.fireflies.ai/view/01KWZEF6KNDECHX8JBN2330AQQ</t>
        </is>
      </c>
    </row>
    <row r="34">
      <c r="A34" s="11" t="inlineStr">
        <is>
          <t>Skinclub Wellness Center &amp; Med Spa</t>
        </is>
      </c>
      <c r="B34" s="11" t="inlineStr">
        <is>
          <t>afsoonsmith97@gmail.com</t>
        </is>
      </c>
      <c r="C34" s="12" t="n"/>
      <c r="D34" s="11" t="n"/>
      <c r="E34" s="24" t="n">
        <v>46211</v>
      </c>
      <c r="F34" s="24" t="n">
        <v>46220</v>
      </c>
      <c r="G34" s="11" t="n">
        <v>3</v>
      </c>
      <c r="H34" s="11" t="n">
        <v>1</v>
      </c>
      <c r="I34" s="32" t="inlineStr">
        <is>
          <t>Skinclub Wellness Center &amp; Med Spa X Zoca | Check In July</t>
        </is>
      </c>
      <c r="J34" s="11" t="b">
        <v>0</v>
      </c>
      <c r="K34" s="24" t="n"/>
      <c r="L34" s="11" t="b">
        <v>0</v>
      </c>
      <c r="M34" s="11" t="b">
        <v>0</v>
      </c>
      <c r="N34" s="11" t="b">
        <v>0</v>
      </c>
      <c r="O34" s="11" t="b">
        <v>0</v>
      </c>
      <c r="P34" s="11" t="n">
        <v>0</v>
      </c>
      <c r="Q34" s="11" t="n">
        <v>0</v>
      </c>
      <c r="R34" s="24" t="n"/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24" t="n">
        <v>46220</v>
      </c>
      <c r="AB34" s="11" t="n">
        <v>42</v>
      </c>
      <c r="AC34" s="24" t="n">
        <v>46220</v>
      </c>
      <c r="AD34" s="11" t="inlineStr">
        <is>
          <t>https://app.fireflies.ai/view/01KXP62QZ2DFHTGSVBVD5HGBVN</t>
        </is>
      </c>
      <c r="AE34" s="11" t="inlineStr">
        <is>
          <t>https://app.fireflies.ai/view/01KXP62QZ2DFHTGSVBVD5HGBVN</t>
        </is>
      </c>
    </row>
    <row r="35">
      <c r="A35" s="8" t="inlineStr">
        <is>
          <t>Michael's Salon</t>
        </is>
      </c>
      <c r="B35" s="8" t="inlineStr">
        <is>
          <t>baturov11@gmail.com</t>
        </is>
      </c>
      <c r="C35" s="9" t="n">
        <v>130</v>
      </c>
      <c r="D35" s="8" t="inlineStr">
        <is>
          <t>active</t>
        </is>
      </c>
      <c r="E35" s="23" t="n">
        <v>46211</v>
      </c>
      <c r="F35" s="23" t="n">
        <v>46211</v>
      </c>
      <c r="G35" s="8" t="n">
        <v>1</v>
      </c>
      <c r="H35" s="8" t="n">
        <v>1</v>
      </c>
      <c r="I35" s="31" t="inlineStr">
        <is>
          <t>Michael's Salon X Zoca | Check In July</t>
        </is>
      </c>
      <c r="J35" s="8" t="b">
        <v>0</v>
      </c>
      <c r="K35" s="23" t="n">
        <v>46223</v>
      </c>
      <c r="L35" s="8" t="b">
        <v>1</v>
      </c>
      <c r="M35" s="8" t="b">
        <v>1</v>
      </c>
      <c r="N35" s="8" t="b">
        <v>1</v>
      </c>
      <c r="O35" s="8" t="b">
        <v>0</v>
      </c>
      <c r="P35" s="8" t="n">
        <v>1</v>
      </c>
      <c r="Q35" s="8" t="n">
        <v>1</v>
      </c>
      <c r="R35" s="23" t="n">
        <v>46235</v>
      </c>
      <c r="S35" s="8" t="b">
        <v>0</v>
      </c>
      <c r="T35" s="8" t="b">
        <v>0</v>
      </c>
      <c r="U35" s="8" t="b">
        <v>0</v>
      </c>
      <c r="V35" s="8" t="b">
        <v>0</v>
      </c>
      <c r="W35" s="8" t="b">
        <v>1</v>
      </c>
      <c r="X35" s="8" t="b">
        <v>0</v>
      </c>
      <c r="Y35" s="8" t="b">
        <v>0</v>
      </c>
      <c r="Z35" s="8" t="b">
        <v>0</v>
      </c>
      <c r="AA35" s="23" t="n">
        <v>46211</v>
      </c>
      <c r="AB35" s="8" t="n">
        <v>34</v>
      </c>
      <c r="AC35" s="23" t="n">
        <v>46211</v>
      </c>
      <c r="AD35" s="8" t="inlineStr">
        <is>
          <t>https://app.fireflies.ai/view/01KWZ3XX5D6RBMQN94T3P4N832</t>
        </is>
      </c>
      <c r="AE35" s="8" t="inlineStr">
        <is>
          <t>https://app.fireflies.ai/view/01KWZ3XX5D6RBMQN94T3P4N832</t>
        </is>
      </c>
    </row>
    <row r="36">
      <c r="A36" s="11" t="inlineStr">
        <is>
          <t>Anu &amp; Christopher</t>
        </is>
      </c>
      <c r="B36" s="11" t="inlineStr">
        <is>
          <t>Christhecolorist2020@gmail.com</t>
        </is>
      </c>
      <c r="C36" s="12" t="n">
        <v>249</v>
      </c>
      <c r="D36" s="11" t="inlineStr">
        <is>
          <t>active</t>
        </is>
      </c>
      <c r="E36" s="24" t="n">
        <v>46211</v>
      </c>
      <c r="F36" s="24" t="n">
        <v>46211</v>
      </c>
      <c r="G36" s="11" t="n">
        <v>2</v>
      </c>
      <c r="H36" s="11" t="n">
        <v>1</v>
      </c>
      <c r="I36" s="32" t="inlineStr">
        <is>
          <t>Anu &amp; Christopher</t>
        </is>
      </c>
      <c r="J36" s="11" t="b">
        <v>0</v>
      </c>
      <c r="K36" s="24" t="n"/>
      <c r="L36" s="11" t="b">
        <v>0</v>
      </c>
      <c r="M36" s="11" t="b">
        <v>0</v>
      </c>
      <c r="N36" s="11" t="b">
        <v>0</v>
      </c>
      <c r="O36" s="11" t="b">
        <v>0</v>
      </c>
      <c r="P36" s="11" t="n">
        <v>0</v>
      </c>
      <c r="Q36" s="11" t="n">
        <v>0</v>
      </c>
      <c r="R36" s="24" t="n"/>
      <c r="S36" s="11" t="b">
        <v>0</v>
      </c>
      <c r="T36" s="11" t="b">
        <v>0</v>
      </c>
      <c r="U36" s="11" t="b">
        <v>0</v>
      </c>
      <c r="V36" s="11" t="b">
        <v>1</v>
      </c>
      <c r="W36" s="11" t="b">
        <v>0</v>
      </c>
      <c r="X36" s="11" t="b">
        <v>0</v>
      </c>
      <c r="Y36" s="11" t="b">
        <v>0</v>
      </c>
      <c r="Z36" s="11" t="b">
        <v>1</v>
      </c>
      <c r="AA36" s="24" t="n">
        <v>46211</v>
      </c>
      <c r="AB36" s="11" t="n">
        <v>40</v>
      </c>
      <c r="AC36" s="24" t="n">
        <v>46211</v>
      </c>
      <c r="AD36" s="11" t="inlineStr">
        <is>
          <t>https://app.fireflies.ai/view/01KX1QWKXAS1D9QE9CC0YHWJMG</t>
        </is>
      </c>
      <c r="AE36" s="11" t="inlineStr">
        <is>
          <t>https://app.fireflies.ai/view/01KX1QWKXAS1D9QE9CC0YHWJMG</t>
        </is>
      </c>
    </row>
    <row r="37">
      <c r="A37" s="8" t="inlineStr">
        <is>
          <t>Simply Facials</t>
        </is>
      </c>
      <c r="B37" s="8" t="inlineStr">
        <is>
          <t>Mysimplyfacials@gmail.com</t>
        </is>
      </c>
      <c r="C37" s="9" t="n">
        <v>199</v>
      </c>
      <c r="D37" s="8" t="inlineStr">
        <is>
          <t>active</t>
        </is>
      </c>
      <c r="E37" s="23" t="n">
        <v>46211</v>
      </c>
      <c r="F37" s="23" t="n">
        <v>46211</v>
      </c>
      <c r="G37" s="8" t="n">
        <v>1</v>
      </c>
      <c r="H37" s="8" t="n">
        <v>1</v>
      </c>
      <c r="I37" s="31" t="inlineStr">
        <is>
          <t>Simply Facials | Thousand Oaks Esthetician X Zoca | Check In July</t>
        </is>
      </c>
      <c r="J37" s="8" t="b">
        <v>1</v>
      </c>
      <c r="K37" s="23" t="n">
        <v>46104</v>
      </c>
      <c r="L37" s="8" t="b">
        <v>1</v>
      </c>
      <c r="M37" s="8" t="b">
        <v>1</v>
      </c>
      <c r="N37" s="8" t="b">
        <v>1</v>
      </c>
      <c r="O37" s="8" t="b">
        <v>1</v>
      </c>
      <c r="P37" s="8" t="n">
        <v>893</v>
      </c>
      <c r="Q37" s="8" t="n">
        <v>3</v>
      </c>
      <c r="R37" s="23" t="n">
        <v>46140</v>
      </c>
      <c r="S37" s="8" t="b">
        <v>0</v>
      </c>
      <c r="T37" s="8" t="b">
        <v>0</v>
      </c>
      <c r="U37" s="8" t="b">
        <v>0</v>
      </c>
      <c r="V37" s="8" t="b">
        <v>0</v>
      </c>
      <c r="W37" s="8" t="b">
        <v>1</v>
      </c>
      <c r="X37" s="8" t="b">
        <v>0</v>
      </c>
      <c r="Y37" s="8" t="b">
        <v>0</v>
      </c>
      <c r="Z37" s="8" t="b">
        <v>0</v>
      </c>
      <c r="AA37" s="23" t="n">
        <v>46211</v>
      </c>
      <c r="AB37" s="8" t="n">
        <v>32</v>
      </c>
      <c r="AC37" s="23" t="n">
        <v>46211</v>
      </c>
      <c r="AD37" s="8" t="inlineStr">
        <is>
          <t>https://app.fireflies.ai/view/01KWYGY66G975WRPTF35JM4F0J</t>
        </is>
      </c>
      <c r="AE37" s="8" t="inlineStr">
        <is>
          <t>https://app.fireflies.ai/view/01KWYGY66G975WRPTF35JM4F0J</t>
        </is>
      </c>
    </row>
    <row r="38">
      <c r="A38" s="11" t="inlineStr">
        <is>
          <t>ZOCA</t>
        </is>
      </c>
      <c r="B38" s="11" t="inlineStr">
        <is>
          <t>bookings@danielkpalmer.com</t>
        </is>
      </c>
      <c r="C38" s="12" t="n">
        <v>249.67</v>
      </c>
      <c r="D38" s="11" t="inlineStr">
        <is>
          <t>active</t>
        </is>
      </c>
      <c r="E38" s="24" t="n">
        <v>46211</v>
      </c>
      <c r="F38" s="24" t="n">
        <v>46225</v>
      </c>
      <c r="G38" s="11" t="n">
        <v>2</v>
      </c>
      <c r="H38" s="11" t="n">
        <v>2</v>
      </c>
      <c r="I38" s="32" t="inlineStr">
        <is>
          <t>ZOCA &lt;&gt; Daniel K Palmer Salon</t>
        </is>
      </c>
      <c r="J38" s="11" t="b">
        <v>0</v>
      </c>
      <c r="K38" s="24" t="n"/>
      <c r="L38" s="11" t="b">
        <v>0</v>
      </c>
      <c r="M38" s="11" t="b">
        <v>0</v>
      </c>
      <c r="N38" s="11" t="b">
        <v>0</v>
      </c>
      <c r="O38" s="11" t="b">
        <v>0</v>
      </c>
      <c r="P38" s="11" t="n">
        <v>0</v>
      </c>
      <c r="Q38" s="11" t="n">
        <v>0</v>
      </c>
      <c r="R38" s="24" t="n"/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1</v>
      </c>
      <c r="AA38" s="24" t="n">
        <v>46211</v>
      </c>
      <c r="AB38" s="11" t="n">
        <v>27</v>
      </c>
      <c r="AC38" s="24" t="n">
        <v>46225</v>
      </c>
      <c r="AD38" s="11" t="inlineStr">
        <is>
          <t>https://app.fireflies.ai/view/01KX1P0KMHT8PXYDYJN8B91EK6</t>
        </is>
      </c>
      <c r="AE38" s="11" t="inlineStr">
        <is>
          <t>https://app.fireflies.ai/view/01KY0QQAWMZJXP0BD721A2ZKD4</t>
        </is>
      </c>
    </row>
    <row r="39">
      <c r="A39" s="8" t="inlineStr">
        <is>
          <t>Dr Shermi-Laser Skin &amp; Wellness Center</t>
        </is>
      </c>
      <c r="B39" s="8" t="inlineStr">
        <is>
          <t>drparikh00@gmail.com</t>
        </is>
      </c>
      <c r="C39" s="9" t="n">
        <v>250</v>
      </c>
      <c r="D39" s="8" t="inlineStr">
        <is>
          <t>active</t>
        </is>
      </c>
      <c r="E39" s="23" t="n">
        <v>46212</v>
      </c>
      <c r="F39" s="23" t="n">
        <v>46226</v>
      </c>
      <c r="G39" s="8" t="n">
        <v>2</v>
      </c>
      <c r="H39" s="8" t="n">
        <v>1</v>
      </c>
      <c r="I39" s="31" t="inlineStr">
        <is>
          <t>Zoca - Dr Shermi-Laser Skin &amp; Wellness Center</t>
        </is>
      </c>
      <c r="J39" s="8" t="b">
        <v>0</v>
      </c>
      <c r="K39" s="23" t="n">
        <v>46212</v>
      </c>
      <c r="L39" s="8" t="b">
        <v>1</v>
      </c>
      <c r="M39" s="8" t="b">
        <v>0</v>
      </c>
      <c r="N39" s="8" t="b">
        <v>0</v>
      </c>
      <c r="O39" s="8" t="b">
        <v>0</v>
      </c>
      <c r="P39" s="8" t="n">
        <v>0</v>
      </c>
      <c r="Q39" s="8" t="n">
        <v>0</v>
      </c>
      <c r="R39" s="23" t="n"/>
      <c r="S39" s="8" t="b">
        <v>0</v>
      </c>
      <c r="T39" s="8" t="b">
        <v>0</v>
      </c>
      <c r="U39" s="8" t="b">
        <v>0</v>
      </c>
      <c r="V39" s="8" t="b">
        <v>0</v>
      </c>
      <c r="W39" s="8" t="b">
        <v>0</v>
      </c>
      <c r="X39" s="8" t="b">
        <v>0</v>
      </c>
      <c r="Y39" s="8" t="b">
        <v>0</v>
      </c>
      <c r="Z39" s="8" t="b">
        <v>0</v>
      </c>
      <c r="AA39" s="23" t="n">
        <v>46226</v>
      </c>
      <c r="AB39" s="8" t="n">
        <v>181</v>
      </c>
      <c r="AC39" s="23" t="n">
        <v>46226</v>
      </c>
      <c r="AD39" s="8" t="inlineStr">
        <is>
          <t>https://app.fireflies.ai/view/01KY2X84QR7631VMNWQE4JJ677</t>
        </is>
      </c>
      <c r="AE39" s="8" t="inlineStr">
        <is>
          <t>https://app.fireflies.ai/view/01KY2X84QR7631VMNWQE4JJ677</t>
        </is>
      </c>
    </row>
    <row r="40">
      <c r="A40" s="11" t="inlineStr">
        <is>
          <t>NatalieZoca</t>
        </is>
      </c>
      <c r="B40" s="11" t="inlineStr">
        <is>
          <t>natalietlindo@gmail.com</t>
        </is>
      </c>
      <c r="C40" s="12" t="n">
        <v>329</v>
      </c>
      <c r="D40" s="11" t="inlineStr">
        <is>
          <t>active</t>
        </is>
      </c>
      <c r="E40" s="24" t="n">
        <v>46212</v>
      </c>
      <c r="F40" s="24" t="n">
        <v>46213</v>
      </c>
      <c r="G40" s="11" t="n">
        <v>2</v>
      </c>
      <c r="H40" s="11" t="n">
        <v>2</v>
      </c>
      <c r="I40" s="32" t="inlineStr">
        <is>
          <t>NatalieZoca</t>
        </is>
      </c>
      <c r="J40" s="11" t="b">
        <v>0</v>
      </c>
      <c r="K40" s="24" t="n"/>
      <c r="L40" s="11" t="b">
        <v>0</v>
      </c>
      <c r="M40" s="11" t="b">
        <v>0</v>
      </c>
      <c r="N40" s="11" t="b">
        <v>0</v>
      </c>
      <c r="O40" s="11" t="b">
        <v>0</v>
      </c>
      <c r="P40" s="11" t="n">
        <v>0</v>
      </c>
      <c r="Q40" s="11" t="n">
        <v>0</v>
      </c>
      <c r="R40" s="24" t="n"/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1</v>
      </c>
      <c r="AA40" s="24" t="n">
        <v>46212</v>
      </c>
      <c r="AB40" s="11" t="n"/>
      <c r="AC40" s="24" t="n">
        <v>46213</v>
      </c>
      <c r="AD40" s="11" t="inlineStr">
        <is>
          <t>https://app.fireflies.ai/view/01KX1MYVNPSDVG0504QQGNA4FF</t>
        </is>
      </c>
      <c r="AE40" s="11" t="inlineStr">
        <is>
          <t>https://app.fireflies.ai/view/01KX410ZK2Y17S3ARK3DNJS6F5</t>
        </is>
      </c>
    </row>
    <row r="41">
      <c r="A41" s="8" t="inlineStr">
        <is>
          <t>Anu &amp; Monique</t>
        </is>
      </c>
      <c r="B41" s="8" t="inlineStr">
        <is>
          <t>contact@bopskintherapy.com</t>
        </is>
      </c>
      <c r="C41" s="9" t="n">
        <v>249</v>
      </c>
      <c r="D41" s="8" t="inlineStr">
        <is>
          <t>active</t>
        </is>
      </c>
      <c r="E41" s="23" t="n">
        <v>46212</v>
      </c>
      <c r="F41" s="23" t="n">
        <v>46212</v>
      </c>
      <c r="G41" s="8" t="n">
        <v>1</v>
      </c>
      <c r="H41" s="8" t="n">
        <v>1</v>
      </c>
      <c r="I41" s="31" t="inlineStr">
        <is>
          <t>Anu &amp; Monique</t>
        </is>
      </c>
      <c r="J41" s="8" t="b">
        <v>0</v>
      </c>
      <c r="K41" s="23" t="n"/>
      <c r="L41" s="8" t="b">
        <v>0</v>
      </c>
      <c r="M41" s="8" t="b">
        <v>0</v>
      </c>
      <c r="N41" s="8" t="b">
        <v>0</v>
      </c>
      <c r="O41" s="8" t="b">
        <v>0</v>
      </c>
      <c r="P41" s="8" t="n">
        <v>0</v>
      </c>
      <c r="Q41" s="8" t="n">
        <v>0</v>
      </c>
      <c r="R41" s="23" t="n"/>
      <c r="S41" s="8" t="b">
        <v>0</v>
      </c>
      <c r="T41" s="8" t="b">
        <v>0</v>
      </c>
      <c r="U41" s="8" t="b">
        <v>0</v>
      </c>
      <c r="V41" s="8" t="b">
        <v>0</v>
      </c>
      <c r="W41" s="8" t="b">
        <v>0</v>
      </c>
      <c r="X41" s="8" t="b">
        <v>0</v>
      </c>
      <c r="Y41" s="8" t="b">
        <v>0</v>
      </c>
      <c r="Z41" s="8" t="b">
        <v>0</v>
      </c>
      <c r="AA41" s="23" t="n">
        <v>46212</v>
      </c>
      <c r="AB41" s="8" t="n">
        <v>35</v>
      </c>
      <c r="AC41" s="23" t="n">
        <v>46212</v>
      </c>
      <c r="AD41" s="8" t="inlineStr">
        <is>
          <t>https://app.fireflies.ai/view/01KX1GXHW53G6MG3VPXG0F17F1</t>
        </is>
      </c>
      <c r="AE41" s="8" t="inlineStr">
        <is>
          <t>https://app.fireflies.ai/view/01KX1GXHW53G6MG3VPXG0F17F1</t>
        </is>
      </c>
    </row>
    <row r="42">
      <c r="A42" s="11" t="inlineStr">
        <is>
          <t>Katherine Booth skincare &amp; Spa</t>
        </is>
      </c>
      <c r="B42" s="11" t="inlineStr">
        <is>
          <t>kboothskincare@gmail.com</t>
        </is>
      </c>
      <c r="C42" s="12" t="n">
        <v>100</v>
      </c>
      <c r="D42" s="11" t="inlineStr">
        <is>
          <t>active</t>
        </is>
      </c>
      <c r="E42" s="24" t="n">
        <v>46212</v>
      </c>
      <c r="F42" s="24" t="n">
        <v>46212</v>
      </c>
      <c r="G42" s="11" t="n">
        <v>1</v>
      </c>
      <c r="H42" s="11" t="n">
        <v>1</v>
      </c>
      <c r="I42" s="32" t="inlineStr">
        <is>
          <t>Katherine Booth skincare &amp; Spa X Zoca | Check In July</t>
        </is>
      </c>
      <c r="J42" s="11" t="b">
        <v>0</v>
      </c>
      <c r="K42" s="24" t="n"/>
      <c r="L42" s="11" t="b">
        <v>0</v>
      </c>
      <c r="M42" s="11" t="b">
        <v>0</v>
      </c>
      <c r="N42" s="11" t="b">
        <v>0</v>
      </c>
      <c r="O42" s="11" t="b">
        <v>0</v>
      </c>
      <c r="P42" s="11" t="n">
        <v>0</v>
      </c>
      <c r="Q42" s="11" t="n">
        <v>0</v>
      </c>
      <c r="R42" s="24" t="n"/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1</v>
      </c>
      <c r="AA42" s="24" t="n">
        <v>46212</v>
      </c>
      <c r="AB42" s="11" t="n"/>
      <c r="AC42" s="24" t="n">
        <v>46212</v>
      </c>
      <c r="AD42" s="11" t="inlineStr">
        <is>
          <t>https://app.fireflies.ai/view/01KX1N1WV3YSCGP67PD9VGCHP1</t>
        </is>
      </c>
      <c r="AE42" s="11" t="inlineStr">
        <is>
          <t>https://app.fireflies.ai/view/01KX1N1WV3YSCGP67PD9VGCHP1</t>
        </is>
      </c>
    </row>
    <row r="43">
      <c r="A43" s="8" t="inlineStr">
        <is>
          <t>Portia</t>
        </is>
      </c>
      <c r="B43" s="8" t="inlineStr">
        <is>
          <t>hydrat8.body@gmail.com</t>
        </is>
      </c>
      <c r="C43" s="9" t="n">
        <v>99</v>
      </c>
      <c r="D43" s="8" t="inlineStr">
        <is>
          <t>active</t>
        </is>
      </c>
      <c r="E43" s="23" t="n">
        <v>46212</v>
      </c>
      <c r="F43" s="23" t="n">
        <v>46212</v>
      </c>
      <c r="G43" s="8" t="n">
        <v>1</v>
      </c>
      <c r="H43" s="8" t="n">
        <v>1</v>
      </c>
      <c r="I43" s="31" t="inlineStr">
        <is>
          <t>Portia &lt;&gt; Check - in</t>
        </is>
      </c>
      <c r="J43" s="8" t="b">
        <v>0</v>
      </c>
      <c r="K43" s="23" t="n"/>
      <c r="L43" s="8" t="b">
        <v>0</v>
      </c>
      <c r="M43" s="8" t="b">
        <v>0</v>
      </c>
      <c r="N43" s="8" t="b">
        <v>0</v>
      </c>
      <c r="O43" s="8" t="b">
        <v>0</v>
      </c>
      <c r="P43" s="8" t="n">
        <v>0</v>
      </c>
      <c r="Q43" s="8" t="n">
        <v>0</v>
      </c>
      <c r="R43" s="23" t="n"/>
      <c r="S43" s="8" t="b">
        <v>0</v>
      </c>
      <c r="T43" s="8" t="b">
        <v>0</v>
      </c>
      <c r="U43" s="8" t="b">
        <v>0</v>
      </c>
      <c r="V43" s="8" t="b">
        <v>0</v>
      </c>
      <c r="W43" s="8" t="b">
        <v>0</v>
      </c>
      <c r="X43" s="8" t="b">
        <v>0</v>
      </c>
      <c r="Y43" s="8" t="b">
        <v>0</v>
      </c>
      <c r="Z43" s="8" t="b">
        <v>0</v>
      </c>
      <c r="AA43" s="23" t="n">
        <v>46212</v>
      </c>
      <c r="AB43" s="8" t="n">
        <v>15</v>
      </c>
      <c r="AC43" s="23" t="n">
        <v>46212</v>
      </c>
      <c r="AD43" s="8" t="inlineStr">
        <is>
          <t>https://app.fireflies.ai/view/01KX42WR0JNHF67HSWDCN9BMJF</t>
        </is>
      </c>
      <c r="AE43" s="8" t="inlineStr">
        <is>
          <t>https://app.fireflies.ai/view/01KX42WR0JNHF67HSWDCN9BMJF</t>
        </is>
      </c>
    </row>
    <row r="44">
      <c r="A44" s="11" t="inlineStr">
        <is>
          <t>Goscalp Scalp Micropigmentation Hair Loss Center</t>
        </is>
      </c>
      <c r="B44" s="11" t="inlineStr">
        <is>
          <t>goscalp@gmail.com</t>
        </is>
      </c>
      <c r="C44" s="12" t="n"/>
      <c r="D44" s="11" t="n"/>
      <c r="E44" s="24" t="n">
        <v>46212</v>
      </c>
      <c r="F44" s="24" t="n">
        <v>46232</v>
      </c>
      <c r="G44" s="11" t="n">
        <v>3</v>
      </c>
      <c r="H44" s="11" t="n">
        <v>2</v>
      </c>
      <c r="I44" s="32" t="inlineStr">
        <is>
          <t>Goscalp Scalp Micropigmentation Hair Loss Center X Zoca | Check In Jul</t>
        </is>
      </c>
      <c r="J44" s="11" t="b">
        <v>0</v>
      </c>
      <c r="K44" s="24" t="n"/>
      <c r="L44" s="11" t="b">
        <v>0</v>
      </c>
      <c r="M44" s="11" t="b">
        <v>0</v>
      </c>
      <c r="N44" s="11" t="b">
        <v>0</v>
      </c>
      <c r="O44" s="11" t="b">
        <v>0</v>
      </c>
      <c r="P44" s="11" t="n">
        <v>0</v>
      </c>
      <c r="Q44" s="11" t="n">
        <v>0</v>
      </c>
      <c r="R44" s="24" t="n"/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1</v>
      </c>
      <c r="AA44" s="24" t="n">
        <v>46212</v>
      </c>
      <c r="AB44" s="11" t="n"/>
      <c r="AC44" s="24" t="n">
        <v>46227</v>
      </c>
      <c r="AD44" s="11" t="inlineStr">
        <is>
          <t>https://app.fireflies.ai/view/01KX1NNCN6BWZKCHFX2QHP6VNY</t>
        </is>
      </c>
      <c r="AE44" s="11" t="inlineStr">
        <is>
          <t>https://app.fireflies.ai/view/01KY83Q9SYFJPK9P5XMMTQGA63</t>
        </is>
      </c>
    </row>
    <row r="45">
      <c r="A45" s="8" t="inlineStr">
        <is>
          <t xml:space="preserve">Rema's Secrets Luxury Day Spa &amp; Body Sculpting Massage </t>
        </is>
      </c>
      <c r="B45" s="8" t="inlineStr">
        <is>
          <t>jessicaharte31@gmail.com</t>
        </is>
      </c>
      <c r="C45" s="9" t="n">
        <v>250</v>
      </c>
      <c r="D45" s="8" t="inlineStr">
        <is>
          <t>active</t>
        </is>
      </c>
      <c r="E45" s="23" t="n">
        <v>46212</v>
      </c>
      <c r="F45" s="23" t="n">
        <v>46212</v>
      </c>
      <c r="G45" s="8" t="n">
        <v>1</v>
      </c>
      <c r="H45" s="8" t="n">
        <v>1</v>
      </c>
      <c r="I45" s="31" t="inlineStr">
        <is>
          <t xml:space="preserve">Rema's Secrets Luxury Day Spa &amp; Body Sculpting Massage X Zoca | Check </t>
        </is>
      </c>
      <c r="J45" s="8" t="b">
        <v>0</v>
      </c>
      <c r="K45" s="23" t="n"/>
      <c r="L45" s="8" t="b">
        <v>0</v>
      </c>
      <c r="M45" s="8" t="b">
        <v>0</v>
      </c>
      <c r="N45" s="8" t="b">
        <v>0</v>
      </c>
      <c r="O45" s="8" t="b">
        <v>0</v>
      </c>
      <c r="P45" s="8" t="n">
        <v>0</v>
      </c>
      <c r="Q45" s="8" t="n">
        <v>0</v>
      </c>
      <c r="R45" s="23" t="n"/>
      <c r="S45" s="8" t="b">
        <v>0</v>
      </c>
      <c r="T45" s="8" t="b">
        <v>0</v>
      </c>
      <c r="U45" s="8" t="b">
        <v>0</v>
      </c>
      <c r="V45" s="8" t="b">
        <v>0</v>
      </c>
      <c r="W45" s="8" t="b">
        <v>0</v>
      </c>
      <c r="X45" s="8" t="b">
        <v>0</v>
      </c>
      <c r="Y45" s="8" t="b">
        <v>0</v>
      </c>
      <c r="Z45" s="8" t="b">
        <v>1</v>
      </c>
      <c r="AA45" s="23" t="n">
        <v>46212</v>
      </c>
      <c r="AB45" s="8" t="n">
        <v>41</v>
      </c>
      <c r="AC45" s="23" t="n">
        <v>46212</v>
      </c>
      <c r="AD45" s="8" t="inlineStr">
        <is>
          <t>https://app.fireflies.ai/view/01KX3YRPZJN7A1YY74F79E7Z2W</t>
        </is>
      </c>
      <c r="AE45" s="8" t="inlineStr">
        <is>
          <t>https://app.fireflies.ai/view/01KX3YRPZJN7A1YY74F79E7Z2W</t>
        </is>
      </c>
    </row>
    <row r="46">
      <c r="A46" s="11" t="inlineStr">
        <is>
          <t>Sublime Therapy Medical Massage</t>
        </is>
      </c>
      <c r="B46" s="11" t="inlineStr">
        <is>
          <t>sublimetherapymm@gmail.com</t>
        </is>
      </c>
      <c r="C46" s="12" t="n"/>
      <c r="D46" s="11" t="n"/>
      <c r="E46" s="24" t="n">
        <v>46213</v>
      </c>
      <c r="F46" s="24" t="n">
        <v>46213</v>
      </c>
      <c r="G46" s="11" t="n">
        <v>1</v>
      </c>
      <c r="H46" s="11" t="n">
        <v>1</v>
      </c>
      <c r="I46" s="32" t="inlineStr">
        <is>
          <t>Sublime Therapy Medical Massage X Zoca | Check In July</t>
        </is>
      </c>
      <c r="J46" s="11" t="b">
        <v>0</v>
      </c>
      <c r="K46" s="24" t="n"/>
      <c r="L46" s="11" t="b">
        <v>0</v>
      </c>
      <c r="M46" s="11" t="b">
        <v>0</v>
      </c>
      <c r="N46" s="11" t="b">
        <v>0</v>
      </c>
      <c r="O46" s="11" t="b">
        <v>0</v>
      </c>
      <c r="P46" s="11" t="n">
        <v>0</v>
      </c>
      <c r="Q46" s="11" t="n">
        <v>0</v>
      </c>
      <c r="R46" s="24" t="n"/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24" t="n">
        <v>46213</v>
      </c>
      <c r="AB46" s="11" t="n"/>
      <c r="AC46" s="24" t="n">
        <v>46213</v>
      </c>
      <c r="AD46" s="11" t="inlineStr">
        <is>
          <t>https://app.fireflies.ai/view/01KX0WYX7QVVZVVPRQK03ZFYHD</t>
        </is>
      </c>
      <c r="AE46" s="11" t="inlineStr">
        <is>
          <t>https://app.fireflies.ai/view/01KX0WYX7QVVZVVPRQK03ZFYHD</t>
        </is>
      </c>
    </row>
    <row r="47">
      <c r="A47" s="8" t="inlineStr">
        <is>
          <t>Robert Waters and Lalith Soni</t>
        </is>
      </c>
      <c r="B47" s="8" t="inlineStr">
        <is>
          <t>info@atlasbodyworks.com</t>
        </is>
      </c>
      <c r="C47" s="9" t="n">
        <v>149</v>
      </c>
      <c r="D47" s="8" t="inlineStr">
        <is>
          <t>active</t>
        </is>
      </c>
      <c r="E47" s="23" t="n">
        <v>46213</v>
      </c>
      <c r="F47" s="23" t="n">
        <v>46213</v>
      </c>
      <c r="G47" s="8" t="n">
        <v>1</v>
      </c>
      <c r="H47" s="8" t="n">
        <v>1</v>
      </c>
      <c r="I47" s="31" t="inlineStr">
        <is>
          <t>Robert Waters and Lalith Soni</t>
        </is>
      </c>
      <c r="J47" s="8" t="b">
        <v>0</v>
      </c>
      <c r="K47" s="23" t="n">
        <v>46227</v>
      </c>
      <c r="L47" s="8" t="b">
        <v>1</v>
      </c>
      <c r="M47" s="8" t="b">
        <v>1</v>
      </c>
      <c r="N47" s="8" t="b">
        <v>1</v>
      </c>
      <c r="O47" s="8" t="b">
        <v>1</v>
      </c>
      <c r="P47" s="8" t="n">
        <v>25</v>
      </c>
      <c r="Q47" s="8" t="n">
        <v>1</v>
      </c>
      <c r="R47" s="23" t="n">
        <v>46235</v>
      </c>
      <c r="S47" s="8" t="b">
        <v>0</v>
      </c>
      <c r="T47" s="8" t="b">
        <v>0</v>
      </c>
      <c r="U47" s="8" t="b">
        <v>0</v>
      </c>
      <c r="V47" s="8" t="b">
        <v>0</v>
      </c>
      <c r="W47" s="8" t="b">
        <v>0</v>
      </c>
      <c r="X47" s="8" t="b">
        <v>0</v>
      </c>
      <c r="Y47" s="8" t="b">
        <v>0</v>
      </c>
      <c r="Z47" s="8" t="b">
        <v>1</v>
      </c>
      <c r="AA47" s="23" t="n">
        <v>46213</v>
      </c>
      <c r="AB47" s="8" t="n">
        <v>49</v>
      </c>
      <c r="AC47" s="23" t="n">
        <v>46213</v>
      </c>
      <c r="AD47" s="8" t="inlineStr">
        <is>
          <t>https://app.fireflies.ai/view/01KX21DRDZ9A127H3AJ0BRMP37</t>
        </is>
      </c>
      <c r="AE47" s="8" t="inlineStr">
        <is>
          <t>https://app.fireflies.ai/view/01KX21DRDZ9A127H3AJ0BRMP37</t>
        </is>
      </c>
    </row>
    <row r="48">
      <c r="A48" s="11" t="inlineStr">
        <is>
          <t>Corrine &amp; Anu</t>
        </is>
      </c>
      <c r="B48" s="11" t="inlineStr">
        <is>
          <t>Moratherapeuticmassage@yahoo.com</t>
        </is>
      </c>
      <c r="C48" s="12" t="n">
        <v>150</v>
      </c>
      <c r="D48" s="11" t="inlineStr">
        <is>
          <t>active</t>
        </is>
      </c>
      <c r="E48" s="24" t="n">
        <v>46213</v>
      </c>
      <c r="F48" s="24" t="n">
        <v>46213</v>
      </c>
      <c r="G48" s="11" t="n">
        <v>1</v>
      </c>
      <c r="H48" s="11" t="n">
        <v>1</v>
      </c>
      <c r="I48" s="32" t="inlineStr">
        <is>
          <t>Corrine &amp; Anu</t>
        </is>
      </c>
      <c r="J48" s="11" t="b">
        <v>0</v>
      </c>
      <c r="K48" s="24" t="n"/>
      <c r="L48" s="11" t="b">
        <v>0</v>
      </c>
      <c r="M48" s="11" t="b">
        <v>0</v>
      </c>
      <c r="N48" s="11" t="b">
        <v>0</v>
      </c>
      <c r="O48" s="11" t="b">
        <v>0</v>
      </c>
      <c r="P48" s="11" t="n">
        <v>0</v>
      </c>
      <c r="Q48" s="11" t="n">
        <v>0</v>
      </c>
      <c r="R48" s="24" t="n"/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1</v>
      </c>
      <c r="AA48" s="24" t="n">
        <v>46213</v>
      </c>
      <c r="AB48" s="11" t="n">
        <v>83</v>
      </c>
      <c r="AC48" s="24" t="n">
        <v>46213</v>
      </c>
      <c r="AD48" s="11" t="inlineStr">
        <is>
          <t>https://app.fireflies.ai/view/01KX4AY5G52TNSN7AMQF10NBK6</t>
        </is>
      </c>
      <c r="AE48" s="11" t="inlineStr">
        <is>
          <t>https://app.fireflies.ai/view/01KX4AY5G52TNSN7AMQF10NBK6</t>
        </is>
      </c>
    </row>
    <row r="49">
      <c r="A49" s="8" t="inlineStr">
        <is>
          <t>ZOCA</t>
        </is>
      </c>
      <c r="B49" s="8" t="inlineStr">
        <is>
          <t>priyaesthetic@gmail.com</t>
        </is>
      </c>
      <c r="C49" s="9" t="n">
        <v>750</v>
      </c>
      <c r="D49" s="8" t="inlineStr">
        <is>
          <t>active</t>
        </is>
      </c>
      <c r="E49" s="23" t="n">
        <v>46213</v>
      </c>
      <c r="F49" s="23" t="n">
        <v>46213</v>
      </c>
      <c r="G49" s="8" t="n">
        <v>1</v>
      </c>
      <c r="H49" s="8" t="n">
        <v>1</v>
      </c>
      <c r="I49" s="31" t="inlineStr">
        <is>
          <t>ZOCA &lt;&gt; GertyPerera</t>
        </is>
      </c>
      <c r="J49" s="8" t="b">
        <v>0</v>
      </c>
      <c r="K49" s="23" t="n"/>
      <c r="L49" s="8" t="b">
        <v>0</v>
      </c>
      <c r="M49" s="8" t="b">
        <v>0</v>
      </c>
      <c r="N49" s="8" t="b">
        <v>0</v>
      </c>
      <c r="O49" s="8" t="b">
        <v>0</v>
      </c>
      <c r="P49" s="8" t="n">
        <v>0</v>
      </c>
      <c r="Q49" s="8" t="n">
        <v>0</v>
      </c>
      <c r="R49" s="23" t="n"/>
      <c r="S49" s="8" t="b">
        <v>0</v>
      </c>
      <c r="T49" s="8" t="b">
        <v>0</v>
      </c>
      <c r="U49" s="8" t="b">
        <v>0</v>
      </c>
      <c r="V49" s="8" t="b">
        <v>0</v>
      </c>
      <c r="W49" s="8" t="b">
        <v>0</v>
      </c>
      <c r="X49" s="8" t="b">
        <v>0</v>
      </c>
      <c r="Y49" s="8" t="b">
        <v>0</v>
      </c>
      <c r="Z49" s="8" t="b">
        <v>1</v>
      </c>
      <c r="AA49" s="23" t="n">
        <v>46213</v>
      </c>
      <c r="AB49" s="8" t="n">
        <v>41</v>
      </c>
      <c r="AC49" s="23" t="n">
        <v>46213</v>
      </c>
      <c r="AD49" s="8" t="inlineStr">
        <is>
          <t>https://app.fireflies.ai/view/01KWYWR8HWYECQMSHYH1J8SNRH</t>
        </is>
      </c>
      <c r="AE49" s="8" t="inlineStr">
        <is>
          <t>https://app.fireflies.ai/view/01KWYWR8HWYECQMSHYH1J8SNRH</t>
        </is>
      </c>
    </row>
    <row r="50">
      <c r="A50" s="11" t="inlineStr">
        <is>
          <t>Limitless Skincare &amp; Beauty LLC</t>
        </is>
      </c>
      <c r="B50" s="11" t="inlineStr">
        <is>
          <t>limitlessskincare83@gmail.com</t>
        </is>
      </c>
      <c r="C50" s="12" t="n">
        <v>249</v>
      </c>
      <c r="D50" s="11" t="inlineStr">
        <is>
          <t>active</t>
        </is>
      </c>
      <c r="E50" s="24" t="n">
        <v>46213</v>
      </c>
      <c r="F50" s="24" t="n">
        <v>46230</v>
      </c>
      <c r="G50" s="11" t="n">
        <v>3</v>
      </c>
      <c r="H50" s="11" t="n">
        <v>2</v>
      </c>
      <c r="I50" s="32" t="inlineStr">
        <is>
          <t>Limitless Skincare &amp; Beauty LLC X Zoca | Check In July</t>
        </is>
      </c>
      <c r="J50" s="11" t="b">
        <v>0</v>
      </c>
      <c r="K50" s="24" t="n"/>
      <c r="L50" s="11" t="b">
        <v>0</v>
      </c>
      <c r="M50" s="11" t="b">
        <v>0</v>
      </c>
      <c r="N50" s="11" t="b">
        <v>0</v>
      </c>
      <c r="O50" s="11" t="b">
        <v>0</v>
      </c>
      <c r="P50" s="11" t="n">
        <v>0</v>
      </c>
      <c r="Q50" s="11" t="n">
        <v>0</v>
      </c>
      <c r="R50" s="24" t="n"/>
      <c r="S50" s="11" t="b">
        <v>0</v>
      </c>
      <c r="T50" s="11" t="b">
        <v>1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1</v>
      </c>
      <c r="Z50" s="11" t="b">
        <v>1</v>
      </c>
      <c r="AA50" s="24" t="n">
        <v>46225</v>
      </c>
      <c r="AB50" s="11" t="n">
        <v>37</v>
      </c>
      <c r="AC50" s="24" t="n">
        <v>46230</v>
      </c>
      <c r="AD50" s="11" t="inlineStr">
        <is>
          <t>https://app.fireflies.ai/view/01KY4ZFTD0HH7YD8TJH4NNH921</t>
        </is>
      </c>
      <c r="AE50" s="11" t="inlineStr">
        <is>
          <t>https://app.fireflies.ai/view/01KYJ9D46W5EHNWCN69CTX7A56</t>
        </is>
      </c>
    </row>
    <row r="51">
      <c r="A51" s="8" t="inlineStr">
        <is>
          <t>Derma Aesthetics Spa</t>
        </is>
      </c>
      <c r="B51" s="8" t="inlineStr">
        <is>
          <t>seemaz0621@gmail.com</t>
        </is>
      </c>
      <c r="C51" s="9" t="n">
        <v>199</v>
      </c>
      <c r="D51" s="8" t="inlineStr">
        <is>
          <t>active</t>
        </is>
      </c>
      <c r="E51" s="23" t="n">
        <v>46213</v>
      </c>
      <c r="F51" s="23" t="n">
        <v>46213</v>
      </c>
      <c r="G51" s="8" t="n">
        <v>1</v>
      </c>
      <c r="H51" s="8" t="n">
        <v>1</v>
      </c>
      <c r="I51" s="31" t="inlineStr">
        <is>
          <t>Derma Aesthetics Spa X Zoca | Check In July</t>
        </is>
      </c>
      <c r="J51" s="8" t="b">
        <v>1</v>
      </c>
      <c r="K51" s="23" t="n">
        <v>46113</v>
      </c>
      <c r="L51" s="8" t="b">
        <v>1</v>
      </c>
      <c r="M51" s="8" t="b">
        <v>1</v>
      </c>
      <c r="N51" s="8" t="b">
        <v>1</v>
      </c>
      <c r="O51" s="8" t="b">
        <v>0</v>
      </c>
      <c r="P51" s="8" t="n">
        <v>45</v>
      </c>
      <c r="Q51" s="8" t="n">
        <v>8</v>
      </c>
      <c r="R51" s="23" t="n">
        <v>46233</v>
      </c>
      <c r="S51" s="8" t="b">
        <v>0</v>
      </c>
      <c r="T51" s="8" t="b">
        <v>0</v>
      </c>
      <c r="U51" s="8" t="b">
        <v>0</v>
      </c>
      <c r="V51" s="8" t="b">
        <v>0</v>
      </c>
      <c r="W51" s="8" t="b">
        <v>0</v>
      </c>
      <c r="X51" s="8" t="b">
        <v>0</v>
      </c>
      <c r="Y51" s="8" t="b">
        <v>0</v>
      </c>
      <c r="Z51" s="8" t="b">
        <v>0</v>
      </c>
      <c r="AA51" s="23" t="n">
        <v>46213</v>
      </c>
      <c r="AB51" s="8" t="n"/>
      <c r="AC51" s="23" t="n">
        <v>46213</v>
      </c>
      <c r="AD51" s="8" t="inlineStr">
        <is>
          <t>https://app.fireflies.ai/view/01KX3V5DZ21XR19H4QXD54GR7E</t>
        </is>
      </c>
      <c r="AE51" s="8" t="inlineStr">
        <is>
          <t>https://app.fireflies.ai/view/01KX3V5DZ21XR19H4QXD54GR7E</t>
        </is>
      </c>
    </row>
    <row r="52">
      <c r="A52" s="11" t="inlineStr">
        <is>
          <t>Bhumi’s Salon</t>
        </is>
      </c>
      <c r="B52" s="11" t="inlineStr">
        <is>
          <t>bhumikabhula@gmail.com</t>
        </is>
      </c>
      <c r="C52" s="12" t="n">
        <v>179</v>
      </c>
      <c r="D52" s="11" t="inlineStr">
        <is>
          <t>active</t>
        </is>
      </c>
      <c r="E52" s="24" t="n">
        <v>46213</v>
      </c>
      <c r="F52" s="24" t="n">
        <v>46217</v>
      </c>
      <c r="G52" s="11" t="n">
        <v>2</v>
      </c>
      <c r="H52" s="11" t="n">
        <v>1</v>
      </c>
      <c r="I52" s="32" t="inlineStr">
        <is>
          <t>Bhumi’s Salon | Waxing, Threading, Facial X Zoca | Check In July</t>
        </is>
      </c>
      <c r="J52" s="11" t="b">
        <v>1</v>
      </c>
      <c r="K52" s="24" t="n">
        <v>46212</v>
      </c>
      <c r="L52" s="11" t="b">
        <v>1</v>
      </c>
      <c r="M52" s="11" t="b">
        <v>1</v>
      </c>
      <c r="N52" s="11" t="b">
        <v>1</v>
      </c>
      <c r="O52" s="11" t="b">
        <v>1</v>
      </c>
      <c r="P52" s="11" t="n">
        <v>7</v>
      </c>
      <c r="Q52" s="11" t="n">
        <v>0</v>
      </c>
      <c r="R52" s="24" t="n">
        <v>46235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1</v>
      </c>
      <c r="AA52" s="24" t="n">
        <v>46213</v>
      </c>
      <c r="AB52" s="11" t="n">
        <v>142</v>
      </c>
      <c r="AC52" s="24" t="n">
        <v>46213</v>
      </c>
      <c r="AD52" s="11" t="inlineStr">
        <is>
          <t>https://app.fireflies.ai/view/01KX6BWWEVBTHHPJK9HBN7V6MK</t>
        </is>
      </c>
      <c r="AE52" s="11" t="inlineStr">
        <is>
          <t>https://app.fireflies.ai/view/01KX6BWWEVBTHHPJK9HBN7V6MK</t>
        </is>
      </c>
    </row>
    <row r="53">
      <c r="A53" s="8" t="inlineStr">
        <is>
          <t>Anu &amp; Kiara- Pressure by Queen Ki LLC</t>
        </is>
      </c>
      <c r="B53" s="8" t="inlineStr">
        <is>
          <t>pressurebyqueenki@gmail.com</t>
        </is>
      </c>
      <c r="C53" s="9" t="n">
        <v>200</v>
      </c>
      <c r="D53" s="8" t="inlineStr">
        <is>
          <t>active</t>
        </is>
      </c>
      <c r="E53" s="23" t="n">
        <v>46216</v>
      </c>
      <c r="F53" s="23" t="n">
        <v>46231</v>
      </c>
      <c r="G53" s="8" t="n">
        <v>2</v>
      </c>
      <c r="H53" s="8" t="n">
        <v>2</v>
      </c>
      <c r="I53" s="31" t="inlineStr">
        <is>
          <t>Anu &amp; Kiara- Pressure by Queen Ki LLC</t>
        </is>
      </c>
      <c r="J53" s="8" t="b">
        <v>0</v>
      </c>
      <c r="K53" s="23" t="n"/>
      <c r="L53" s="8" t="b">
        <v>0</v>
      </c>
      <c r="M53" s="8" t="b">
        <v>0</v>
      </c>
      <c r="N53" s="8" t="b">
        <v>0</v>
      </c>
      <c r="O53" s="8" t="b">
        <v>0</v>
      </c>
      <c r="P53" s="8" t="n">
        <v>0</v>
      </c>
      <c r="Q53" s="8" t="n">
        <v>0</v>
      </c>
      <c r="R53" s="23" t="n"/>
      <c r="S53" s="8" t="b">
        <v>0</v>
      </c>
      <c r="T53" s="8" t="b">
        <v>0</v>
      </c>
      <c r="U53" s="8" t="b">
        <v>1</v>
      </c>
      <c r="V53" s="8" t="b">
        <v>0</v>
      </c>
      <c r="W53" s="8" t="b">
        <v>0</v>
      </c>
      <c r="X53" s="8" t="b">
        <v>0</v>
      </c>
      <c r="Y53" s="8" t="b">
        <v>0</v>
      </c>
      <c r="Z53" s="8" t="b">
        <v>0</v>
      </c>
      <c r="AA53" s="23" t="n">
        <v>46216</v>
      </c>
      <c r="AB53" s="8" t="n">
        <v>41</v>
      </c>
      <c r="AC53" s="23" t="n">
        <v>46231</v>
      </c>
      <c r="AD53" s="8" t="inlineStr">
        <is>
          <t>https://app.fireflies.ai/view/01KX8WX62F892J8HNR761HZD22</t>
        </is>
      </c>
      <c r="AE53" s="8" t="inlineStr">
        <is>
          <t>https://app.fireflies.ai/view/01KYMZ7M7SG04KMT1PA52H4S3Z</t>
        </is>
      </c>
    </row>
    <row r="54">
      <c r="A54" s="11" t="inlineStr">
        <is>
          <t>Dash Hair &amp; Company, LLC</t>
        </is>
      </c>
      <c r="B54" s="11" t="inlineStr">
        <is>
          <t>ellistatamiatta@gmail.com</t>
        </is>
      </c>
      <c r="C54" s="12" t="n">
        <v>250</v>
      </c>
      <c r="D54" s="11" t="inlineStr">
        <is>
          <t>active</t>
        </is>
      </c>
      <c r="E54" s="24" t="n">
        <v>46216</v>
      </c>
      <c r="F54" s="24" t="n">
        <v>46216</v>
      </c>
      <c r="G54" s="11" t="n">
        <v>1</v>
      </c>
      <c r="H54" s="11" t="n">
        <v>1</v>
      </c>
      <c r="I54" s="32" t="inlineStr">
        <is>
          <t>Dash Hair &amp; Company, LLC X Zoca | Check In July</t>
        </is>
      </c>
      <c r="J54" s="11" t="b">
        <v>0</v>
      </c>
      <c r="K54" s="24" t="n"/>
      <c r="L54" s="11" t="b">
        <v>0</v>
      </c>
      <c r="M54" s="11" t="b">
        <v>0</v>
      </c>
      <c r="N54" s="11" t="b">
        <v>0</v>
      </c>
      <c r="O54" s="11" t="b">
        <v>0</v>
      </c>
      <c r="P54" s="11" t="n">
        <v>0</v>
      </c>
      <c r="Q54" s="11" t="n">
        <v>0</v>
      </c>
      <c r="R54" s="24" t="n"/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24" t="n">
        <v>46216</v>
      </c>
      <c r="AB54" s="11" t="n">
        <v>58</v>
      </c>
      <c r="AC54" s="24" t="n">
        <v>46216</v>
      </c>
      <c r="AD54" s="11" t="inlineStr">
        <is>
          <t>https://app.fireflies.ai/view/01KX46673MAHYR8S3PRRM14MTM</t>
        </is>
      </c>
      <c r="AE54" s="11" t="inlineStr">
        <is>
          <t>https://app.fireflies.ai/view/01KX46673MAHYR8S3PRRM14MTM</t>
        </is>
      </c>
    </row>
    <row r="55">
      <c r="A55" s="8" t="inlineStr">
        <is>
          <t>Zoca</t>
        </is>
      </c>
      <c r="B55" s="8" t="inlineStr">
        <is>
          <t>lenatrueu@gmail.com</t>
        </is>
      </c>
      <c r="C55" s="9" t="n">
        <v>250</v>
      </c>
      <c r="D55" s="8" t="inlineStr">
        <is>
          <t>active</t>
        </is>
      </c>
      <c r="E55" s="23" t="n">
        <v>46216</v>
      </c>
      <c r="F55" s="23" t="n">
        <v>46216</v>
      </c>
      <c r="G55" s="8" t="n">
        <v>1</v>
      </c>
      <c r="H55" s="8" t="n">
        <v>1</v>
      </c>
      <c r="I55" s="31" t="inlineStr">
        <is>
          <t>Zoca &lt;&gt; True U Aesthetics</t>
        </is>
      </c>
      <c r="J55" s="8" t="b">
        <v>0</v>
      </c>
      <c r="K55" s="23" t="n"/>
      <c r="L55" s="8" t="b">
        <v>0</v>
      </c>
      <c r="M55" s="8" t="b">
        <v>0</v>
      </c>
      <c r="N55" s="8" t="b">
        <v>0</v>
      </c>
      <c r="O55" s="8" t="b">
        <v>0</v>
      </c>
      <c r="P55" s="8" t="n">
        <v>0</v>
      </c>
      <c r="Q55" s="8" t="n">
        <v>0</v>
      </c>
      <c r="R55" s="23" t="n"/>
      <c r="S55" s="8" t="b">
        <v>0</v>
      </c>
      <c r="T55" s="8" t="b">
        <v>0</v>
      </c>
      <c r="U55" s="8" t="b">
        <v>0</v>
      </c>
      <c r="V55" s="8" t="b">
        <v>1</v>
      </c>
      <c r="W55" s="8" t="b">
        <v>1</v>
      </c>
      <c r="X55" s="8" t="b">
        <v>0</v>
      </c>
      <c r="Y55" s="8" t="b">
        <v>0</v>
      </c>
      <c r="Z55" s="8" t="b">
        <v>1</v>
      </c>
      <c r="AA55" s="23" t="n">
        <v>46216</v>
      </c>
      <c r="AB55" s="8" t="n">
        <v>40</v>
      </c>
      <c r="AC55" s="23" t="n">
        <v>46216</v>
      </c>
      <c r="AD55" s="8" t="inlineStr">
        <is>
          <t>https://app.fireflies.ai/view/01KX1TW7J9955SAGPGZMNKP1XC</t>
        </is>
      </c>
      <c r="AE55" s="8" t="inlineStr">
        <is>
          <t>https://app.fireflies.ai/view/01KX1TW7J9955SAGPGZMNKP1XC</t>
        </is>
      </c>
    </row>
    <row r="56">
      <c r="A56" s="11" t="inlineStr">
        <is>
          <t>Beauty By Bowers Day Spa</t>
        </is>
      </c>
      <c r="B56" s="11" t="inlineStr">
        <is>
          <t>beautybybowers@gmail.com</t>
        </is>
      </c>
      <c r="C56" s="12" t="n">
        <v>100</v>
      </c>
      <c r="D56" s="11" t="inlineStr">
        <is>
          <t>active</t>
        </is>
      </c>
      <c r="E56" s="24" t="n">
        <v>46216</v>
      </c>
      <c r="F56" s="24" t="n">
        <v>46216</v>
      </c>
      <c r="G56" s="11" t="n">
        <v>1</v>
      </c>
      <c r="H56" s="11" t="n">
        <v>1</v>
      </c>
      <c r="I56" s="32" t="inlineStr">
        <is>
          <t>Beauty By Bowers Day Spa X Zoca | Check In July</t>
        </is>
      </c>
      <c r="J56" s="11" t="b">
        <v>0</v>
      </c>
      <c r="K56" s="24" t="n"/>
      <c r="L56" s="11" t="b">
        <v>0</v>
      </c>
      <c r="M56" s="11" t="b">
        <v>0</v>
      </c>
      <c r="N56" s="11" t="b">
        <v>0</v>
      </c>
      <c r="O56" s="11" t="b">
        <v>0</v>
      </c>
      <c r="P56" s="11" t="n">
        <v>0</v>
      </c>
      <c r="Q56" s="11" t="n">
        <v>0</v>
      </c>
      <c r="R56" s="24" t="n"/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1</v>
      </c>
      <c r="X56" s="11" t="b">
        <v>0</v>
      </c>
      <c r="Y56" s="11" t="b">
        <v>1</v>
      </c>
      <c r="Z56" s="11" t="b">
        <v>1</v>
      </c>
      <c r="AA56" s="24" t="n">
        <v>46216</v>
      </c>
      <c r="AB56" s="11" t="n"/>
      <c r="AC56" s="24" t="n">
        <v>46216</v>
      </c>
      <c r="AD56" s="11" t="inlineStr">
        <is>
          <t>https://app.fireflies.ai/view/01KX94JHP63JFZFR3415Z7NRPW</t>
        </is>
      </c>
      <c r="AE56" s="11" t="inlineStr">
        <is>
          <t>https://app.fireflies.ai/view/01KX94JHP63JFZFR3415Z7NRPW</t>
        </is>
      </c>
    </row>
    <row r="57">
      <c r="A57" s="8" t="inlineStr">
        <is>
          <t>Napa Vineyard Massage and Wellness</t>
        </is>
      </c>
      <c r="B57" s="8" t="inlineStr">
        <is>
          <t>napavineyardmassage1@gmail.com</t>
        </is>
      </c>
      <c r="C57" s="9" t="n">
        <v>125</v>
      </c>
      <c r="D57" s="8" t="inlineStr">
        <is>
          <t>active</t>
        </is>
      </c>
      <c r="E57" s="23" t="n">
        <v>46216</v>
      </c>
      <c r="F57" s="23" t="n">
        <v>46216</v>
      </c>
      <c r="G57" s="8" t="n">
        <v>1</v>
      </c>
      <c r="H57" s="8" t="n">
        <v>1</v>
      </c>
      <c r="I57" s="31" t="inlineStr">
        <is>
          <t>Napa Vineyard Massage and Wellness X Zoca | Check In July</t>
        </is>
      </c>
      <c r="J57" s="8" t="b">
        <v>0</v>
      </c>
      <c r="K57" s="23" t="n"/>
      <c r="L57" s="8" t="b">
        <v>0</v>
      </c>
      <c r="M57" s="8" t="b">
        <v>0</v>
      </c>
      <c r="N57" s="8" t="b">
        <v>0</v>
      </c>
      <c r="O57" s="8" t="b">
        <v>0</v>
      </c>
      <c r="P57" s="8" t="n">
        <v>0</v>
      </c>
      <c r="Q57" s="8" t="n">
        <v>0</v>
      </c>
      <c r="R57" s="23" t="n"/>
      <c r="S57" s="8" t="b">
        <v>0</v>
      </c>
      <c r="T57" s="8" t="b">
        <v>0</v>
      </c>
      <c r="U57" s="8" t="b">
        <v>0</v>
      </c>
      <c r="V57" s="8" t="b">
        <v>0</v>
      </c>
      <c r="W57" s="8" t="b">
        <v>0</v>
      </c>
      <c r="X57" s="8" t="b">
        <v>0</v>
      </c>
      <c r="Y57" s="8" t="b">
        <v>0</v>
      </c>
      <c r="Z57" s="8" t="b">
        <v>1</v>
      </c>
      <c r="AA57" s="23" t="n">
        <v>46216</v>
      </c>
      <c r="AB57" s="8" t="n">
        <v>23</v>
      </c>
      <c r="AC57" s="23" t="n">
        <v>46216</v>
      </c>
      <c r="AD57" s="8" t="inlineStr">
        <is>
          <t>https://app.fireflies.ai/view/01KX9A7QKG7A6146MM396ZQVT0</t>
        </is>
      </c>
      <c r="AE57" s="8" t="inlineStr">
        <is>
          <t>https://app.fireflies.ai/view/01KX9A7QKG7A6146MM396ZQVT0</t>
        </is>
      </c>
    </row>
    <row r="58">
      <c r="A58" s="11" t="inlineStr">
        <is>
          <t>Retro Cuts-Kids Hair Salon &amp; Special needs friendly</t>
        </is>
      </c>
      <c r="B58" s="11" t="inlineStr">
        <is>
          <t>retrocutsllc@gmail.com</t>
        </is>
      </c>
      <c r="C58" s="12" t="n">
        <v>199</v>
      </c>
      <c r="D58" s="11" t="inlineStr">
        <is>
          <t>active</t>
        </is>
      </c>
      <c r="E58" s="24" t="n">
        <v>46216</v>
      </c>
      <c r="F58" s="24" t="n">
        <v>46216</v>
      </c>
      <c r="G58" s="11" t="n">
        <v>1</v>
      </c>
      <c r="H58" s="11" t="n">
        <v>1</v>
      </c>
      <c r="I58" s="32" t="inlineStr">
        <is>
          <t xml:space="preserve">Retro Cuts-Kids Hair Salon &amp; Special needs friendly X Zoca | Check In </t>
        </is>
      </c>
      <c r="J58" s="11" t="b">
        <v>0</v>
      </c>
      <c r="K58" s="24" t="n"/>
      <c r="L58" s="11" t="b">
        <v>0</v>
      </c>
      <c r="M58" s="11" t="b">
        <v>0</v>
      </c>
      <c r="N58" s="11" t="b">
        <v>0</v>
      </c>
      <c r="O58" s="11" t="b">
        <v>0</v>
      </c>
      <c r="P58" s="11" t="n">
        <v>0</v>
      </c>
      <c r="Q58" s="11" t="n">
        <v>0</v>
      </c>
      <c r="R58" s="24" t="n"/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1</v>
      </c>
      <c r="X58" s="11" t="b">
        <v>0</v>
      </c>
      <c r="Y58" s="11" t="b">
        <v>0</v>
      </c>
      <c r="Z58" s="11" t="b">
        <v>1</v>
      </c>
      <c r="AA58" s="24" t="n">
        <v>46216</v>
      </c>
      <c r="AB58" s="11" t="n"/>
      <c r="AC58" s="24" t="n">
        <v>46216</v>
      </c>
      <c r="AD58" s="11" t="inlineStr">
        <is>
          <t>https://app.fireflies.ai/view/01KX9S5MFT763B3AKPBAYQ6N07</t>
        </is>
      </c>
      <c r="AE58" s="11" t="inlineStr">
        <is>
          <t>https://app.fireflies.ai/view/01KX9S5MFT763B3AKPBAYQ6N07</t>
        </is>
      </c>
    </row>
    <row r="59">
      <c r="A59" s="8" t="inlineStr">
        <is>
          <t>Lotus Beauty Collective</t>
        </is>
      </c>
      <c r="B59" s="8" t="inlineStr">
        <is>
          <t>Lotusbeautycollective@gmail.com</t>
        </is>
      </c>
      <c r="C59" s="9" t="n">
        <v>99</v>
      </c>
      <c r="D59" s="8" t="inlineStr">
        <is>
          <t>active</t>
        </is>
      </c>
      <c r="E59" s="23" t="n">
        <v>46216</v>
      </c>
      <c r="F59" s="23" t="n">
        <v>46216</v>
      </c>
      <c r="G59" s="8" t="n">
        <v>1</v>
      </c>
      <c r="H59" s="8" t="n">
        <v>1</v>
      </c>
      <c r="I59" s="31" t="inlineStr">
        <is>
          <t>Lotus Beauty Collective X Zoca | Check In July</t>
        </is>
      </c>
      <c r="J59" s="8" t="b">
        <v>0</v>
      </c>
      <c r="K59" s="23" t="n"/>
      <c r="L59" s="8" t="b">
        <v>0</v>
      </c>
      <c r="M59" s="8" t="b">
        <v>0</v>
      </c>
      <c r="N59" s="8" t="b">
        <v>0</v>
      </c>
      <c r="O59" s="8" t="b">
        <v>0</v>
      </c>
      <c r="P59" s="8" t="n">
        <v>0</v>
      </c>
      <c r="Q59" s="8" t="n">
        <v>0</v>
      </c>
      <c r="R59" s="23" t="n"/>
      <c r="S59" s="8" t="b">
        <v>0</v>
      </c>
      <c r="T59" s="8" t="b">
        <v>0</v>
      </c>
      <c r="U59" s="8" t="b">
        <v>0</v>
      </c>
      <c r="V59" s="8" t="b">
        <v>0</v>
      </c>
      <c r="W59" s="8" t="b">
        <v>1</v>
      </c>
      <c r="X59" s="8" t="b">
        <v>0</v>
      </c>
      <c r="Y59" s="8" t="b">
        <v>0</v>
      </c>
      <c r="Z59" s="8" t="b">
        <v>0</v>
      </c>
      <c r="AA59" s="23" t="n">
        <v>46216</v>
      </c>
      <c r="AB59" s="8" t="n">
        <v>31</v>
      </c>
      <c r="AC59" s="23" t="n">
        <v>46216</v>
      </c>
      <c r="AD59" s="8" t="inlineStr">
        <is>
          <t>https://app.fireflies.ai/view/01KX9YTWDBV98JQ3G7805P12DJ</t>
        </is>
      </c>
      <c r="AE59" s="8" t="inlineStr">
        <is>
          <t>https://app.fireflies.ai/view/01KX9YTWDBV98JQ3G7805P12DJ</t>
        </is>
      </c>
    </row>
    <row r="60">
      <c r="A60" s="11" t="inlineStr">
        <is>
          <t>Bodied Boss Studio</t>
        </is>
      </c>
      <c r="B60" s="11" t="inlineStr">
        <is>
          <t>Info@bodiedboss.com</t>
        </is>
      </c>
      <c r="C60" s="12" t="n">
        <v>199</v>
      </c>
      <c r="D60" s="11" t="inlineStr">
        <is>
          <t>active</t>
        </is>
      </c>
      <c r="E60" s="24" t="n">
        <v>46216</v>
      </c>
      <c r="F60" s="24" t="n">
        <v>46231</v>
      </c>
      <c r="G60" s="11" t="n">
        <v>2</v>
      </c>
      <c r="H60" s="11" t="n">
        <v>2</v>
      </c>
      <c r="I60" s="32" t="inlineStr">
        <is>
          <t>Bodied Boss Studio X Zoca | Check In July</t>
        </is>
      </c>
      <c r="J60" s="11" t="b">
        <v>0</v>
      </c>
      <c r="K60" s="24" t="n"/>
      <c r="L60" s="11" t="b">
        <v>0</v>
      </c>
      <c r="M60" s="11" t="b">
        <v>0</v>
      </c>
      <c r="N60" s="11" t="b">
        <v>0</v>
      </c>
      <c r="O60" s="11" t="b">
        <v>0</v>
      </c>
      <c r="P60" s="11" t="n">
        <v>0</v>
      </c>
      <c r="Q60" s="11" t="n">
        <v>0</v>
      </c>
      <c r="R60" s="24" t="n"/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1</v>
      </c>
      <c r="AA60" s="24" t="n">
        <v>46216</v>
      </c>
      <c r="AB60" s="11" t="n">
        <v>28</v>
      </c>
      <c r="AC60" s="24" t="n">
        <v>46231</v>
      </c>
      <c r="AD60" s="11" t="inlineStr">
        <is>
          <t>https://app.fireflies.ai/view/01KXE66VDG2696QEYJGVJSFDAH</t>
        </is>
      </c>
      <c r="AE60" s="11" t="inlineStr">
        <is>
          <t>https://app.fireflies.ai/view/01KYMY2EF0TKA08AY5412GM04Y</t>
        </is>
      </c>
    </row>
    <row r="61">
      <c r="A61" s="8" t="inlineStr">
        <is>
          <t>IM=X Pilates and Fitness Mansfield</t>
        </is>
      </c>
      <c r="B61" s="8" t="inlineStr">
        <is>
          <t>michelle@imxpilates.com</t>
        </is>
      </c>
      <c r="C61" s="9" t="n">
        <v>199</v>
      </c>
      <c r="D61" s="8" t="inlineStr">
        <is>
          <t>active</t>
        </is>
      </c>
      <c r="E61" s="23" t="n">
        <v>46216</v>
      </c>
      <c r="F61" s="23" t="n">
        <v>46216</v>
      </c>
      <c r="G61" s="8" t="n">
        <v>1</v>
      </c>
      <c r="H61" s="8" t="n">
        <v>1</v>
      </c>
      <c r="I61" s="31" t="inlineStr">
        <is>
          <t>IM=X Pilates and Fitness Mansfield X Zoca | Check In July</t>
        </is>
      </c>
      <c r="J61" s="8" t="b">
        <v>0</v>
      </c>
      <c r="K61" s="23" t="n"/>
      <c r="L61" s="8" t="b">
        <v>0</v>
      </c>
      <c r="M61" s="8" t="b">
        <v>0</v>
      </c>
      <c r="N61" s="8" t="b">
        <v>0</v>
      </c>
      <c r="O61" s="8" t="b">
        <v>0</v>
      </c>
      <c r="P61" s="8" t="n">
        <v>0</v>
      </c>
      <c r="Q61" s="8" t="n">
        <v>0</v>
      </c>
      <c r="R61" s="23" t="n"/>
      <c r="S61" s="8" t="b">
        <v>1</v>
      </c>
      <c r="T61" s="8" t="b">
        <v>0</v>
      </c>
      <c r="U61" s="8" t="b">
        <v>0</v>
      </c>
      <c r="V61" s="8" t="b">
        <v>0</v>
      </c>
      <c r="W61" s="8" t="b">
        <v>0</v>
      </c>
      <c r="X61" s="8" t="b">
        <v>0</v>
      </c>
      <c r="Y61" s="8" t="b">
        <v>0</v>
      </c>
      <c r="Z61" s="8" t="b">
        <v>0</v>
      </c>
      <c r="AA61" s="23" t="n">
        <v>46216</v>
      </c>
      <c r="AB61" s="8" t="n">
        <v>27</v>
      </c>
      <c r="AC61" s="23" t="n">
        <v>46216</v>
      </c>
      <c r="AD61" s="8" t="inlineStr">
        <is>
          <t>https://app.fireflies.ai/view/01KX9S5MJN9PP3F8C02WHE9CBB</t>
        </is>
      </c>
      <c r="AE61" s="8" t="inlineStr">
        <is>
          <t>https://app.fireflies.ai/view/01KX9S5MJN9PP3F8C02WHE9CBB</t>
        </is>
      </c>
    </row>
    <row r="62">
      <c r="A62" s="11" t="inlineStr">
        <is>
          <t>Gregory Park and Lalith Soni</t>
        </is>
      </c>
      <c r="B62" s="11" t="inlineStr">
        <is>
          <t>acupressurecentre@gmail.com</t>
        </is>
      </c>
      <c r="C62" s="12" t="n">
        <v>249</v>
      </c>
      <c r="D62" s="11" t="inlineStr">
        <is>
          <t>active</t>
        </is>
      </c>
      <c r="E62" s="24" t="n">
        <v>46217</v>
      </c>
      <c r="F62" s="24" t="n">
        <v>46217</v>
      </c>
      <c r="G62" s="11" t="n">
        <v>1</v>
      </c>
      <c r="H62" s="11" t="n">
        <v>1</v>
      </c>
      <c r="I62" s="32" t="inlineStr">
        <is>
          <t>Gregory Park and Lalith Soni</t>
        </is>
      </c>
      <c r="J62" s="11" t="b">
        <v>0</v>
      </c>
      <c r="K62" s="24" t="n"/>
      <c r="L62" s="11" t="b">
        <v>0</v>
      </c>
      <c r="M62" s="11" t="b">
        <v>0</v>
      </c>
      <c r="N62" s="11" t="b">
        <v>0</v>
      </c>
      <c r="O62" s="11" t="b">
        <v>0</v>
      </c>
      <c r="P62" s="11" t="n">
        <v>0</v>
      </c>
      <c r="Q62" s="11" t="n">
        <v>0</v>
      </c>
      <c r="R62" s="24" t="n"/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24" t="n">
        <v>46217</v>
      </c>
      <c r="AB62" s="11" t="n">
        <v>21</v>
      </c>
      <c r="AC62" s="24" t="n">
        <v>46217</v>
      </c>
      <c r="AD62" s="11" t="inlineStr">
        <is>
          <t>https://app.fireflies.ai/view/01KX4BBY9MV0M2MJ1VJ90QKBHA</t>
        </is>
      </c>
      <c r="AE62" s="11" t="inlineStr">
        <is>
          <t>https://app.fireflies.ai/view/01KX4BBY9MV0M2MJ1VJ90QKBHA</t>
        </is>
      </c>
    </row>
    <row r="63">
      <c r="A63" s="8" t="inlineStr">
        <is>
          <t>Fusion MedSpa</t>
        </is>
      </c>
      <c r="B63" s="8" t="inlineStr">
        <is>
          <t>fusionmedspadfw@gmail.com</t>
        </is>
      </c>
      <c r="C63" s="9" t="n"/>
      <c r="D63" s="8" t="n"/>
      <c r="E63" s="23" t="n">
        <v>46217</v>
      </c>
      <c r="F63" s="23" t="n">
        <v>46217</v>
      </c>
      <c r="G63" s="8" t="n">
        <v>1</v>
      </c>
      <c r="H63" s="8" t="n">
        <v>1</v>
      </c>
      <c r="I63" s="31" t="inlineStr">
        <is>
          <t>Fusion MedSpa</t>
        </is>
      </c>
      <c r="J63" s="8" t="b">
        <v>0</v>
      </c>
      <c r="K63" s="23" t="n"/>
      <c r="L63" s="8" t="b">
        <v>0</v>
      </c>
      <c r="M63" s="8" t="b">
        <v>0</v>
      </c>
      <c r="N63" s="8" t="b">
        <v>0</v>
      </c>
      <c r="O63" s="8" t="b">
        <v>0</v>
      </c>
      <c r="P63" s="8" t="n">
        <v>0</v>
      </c>
      <c r="Q63" s="8" t="n">
        <v>0</v>
      </c>
      <c r="R63" s="23" t="n"/>
      <c r="S63" s="8" t="b">
        <v>0</v>
      </c>
      <c r="T63" s="8" t="b">
        <v>0</v>
      </c>
      <c r="U63" s="8" t="b">
        <v>0</v>
      </c>
      <c r="V63" s="8" t="b">
        <v>0</v>
      </c>
      <c r="W63" s="8" t="b">
        <v>0</v>
      </c>
      <c r="X63" s="8" t="b">
        <v>0</v>
      </c>
      <c r="Y63" s="8" t="b">
        <v>0</v>
      </c>
      <c r="Z63" s="8" t="b">
        <v>0</v>
      </c>
      <c r="AA63" s="23" t="n">
        <v>46217</v>
      </c>
      <c r="AB63" s="8" t="n">
        <v>25</v>
      </c>
      <c r="AC63" s="23" t="n">
        <v>46217</v>
      </c>
      <c r="AD63" s="8" t="inlineStr">
        <is>
          <t>https://app.fireflies.ai/view/01KXGCTRYCB29GK1PZJVKATF9P</t>
        </is>
      </c>
      <c r="AE63" s="8" t="inlineStr">
        <is>
          <t>https://app.fireflies.ai/view/01KXGCTRYCB29GK1PZJVKATF9P</t>
        </is>
      </c>
    </row>
    <row r="64">
      <c r="A64" s="11" t="inlineStr">
        <is>
          <t>Akshi Beauty Salon</t>
        </is>
      </c>
      <c r="B64" s="11" t="inlineStr">
        <is>
          <t>akshibeautysalon@gmail.com</t>
        </is>
      </c>
      <c r="C64" s="12" t="n">
        <v>250</v>
      </c>
      <c r="D64" s="11" t="inlineStr">
        <is>
          <t>active</t>
        </is>
      </c>
      <c r="E64" s="24" t="n">
        <v>46217</v>
      </c>
      <c r="F64" s="24" t="n">
        <v>46217</v>
      </c>
      <c r="G64" s="11" t="n">
        <v>1</v>
      </c>
      <c r="H64" s="11" t="n">
        <v>1</v>
      </c>
      <c r="I64" s="32" t="inlineStr">
        <is>
          <t>Akshi Beauty Salon X Zoca | Check In July</t>
        </is>
      </c>
      <c r="J64" s="11" t="b">
        <v>0</v>
      </c>
      <c r="K64" s="24" t="n"/>
      <c r="L64" s="11" t="b">
        <v>0</v>
      </c>
      <c r="M64" s="11" t="b">
        <v>0</v>
      </c>
      <c r="N64" s="11" t="b">
        <v>0</v>
      </c>
      <c r="O64" s="11" t="b">
        <v>0</v>
      </c>
      <c r="P64" s="11" t="n">
        <v>0</v>
      </c>
      <c r="Q64" s="11" t="n">
        <v>0</v>
      </c>
      <c r="R64" s="24" t="n"/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24" t="n">
        <v>46217</v>
      </c>
      <c r="AB64" s="11" t="n">
        <v>39</v>
      </c>
      <c r="AC64" s="24" t="n">
        <v>46217</v>
      </c>
      <c r="AD64" s="11" t="inlineStr">
        <is>
          <t>https://app.fireflies.ai/view/01KXE5ZEWZX26ECQT43WKQ4VMY</t>
        </is>
      </c>
      <c r="AE64" s="11" t="inlineStr">
        <is>
          <t>https://app.fireflies.ai/view/01KXE5ZEWZX26ECQT43WKQ4VMY</t>
        </is>
      </c>
    </row>
    <row r="65">
      <c r="A65" s="8" t="inlineStr">
        <is>
          <t>Adrian Blackhurst and Lalith Soni</t>
        </is>
      </c>
      <c r="B65" s="8" t="inlineStr">
        <is>
          <t>info@bayareabeatsdjs.com</t>
        </is>
      </c>
      <c r="C65" s="9" t="n">
        <v>75</v>
      </c>
      <c r="D65" s="8" t="inlineStr">
        <is>
          <t>active</t>
        </is>
      </c>
      <c r="E65" s="23" t="n">
        <v>46217</v>
      </c>
      <c r="F65" s="23" t="n">
        <v>46217</v>
      </c>
      <c r="G65" s="8" t="n">
        <v>1</v>
      </c>
      <c r="H65" s="8" t="n">
        <v>1</v>
      </c>
      <c r="I65" s="31" t="inlineStr">
        <is>
          <t>Adrian Blackhurst and Lalith Soni</t>
        </is>
      </c>
      <c r="J65" s="8" t="b">
        <v>0</v>
      </c>
      <c r="K65" s="23" t="n"/>
      <c r="L65" s="8" t="b">
        <v>0</v>
      </c>
      <c r="M65" s="8" t="b">
        <v>0</v>
      </c>
      <c r="N65" s="8" t="b">
        <v>0</v>
      </c>
      <c r="O65" s="8" t="b">
        <v>0</v>
      </c>
      <c r="P65" s="8" t="n">
        <v>0</v>
      </c>
      <c r="Q65" s="8" t="n">
        <v>0</v>
      </c>
      <c r="R65" s="23" t="n"/>
      <c r="S65" s="8" t="b">
        <v>0</v>
      </c>
      <c r="T65" s="8" t="b">
        <v>0</v>
      </c>
      <c r="U65" s="8" t="b">
        <v>0</v>
      </c>
      <c r="V65" s="8" t="b">
        <v>0</v>
      </c>
      <c r="W65" s="8" t="b">
        <v>0</v>
      </c>
      <c r="X65" s="8" t="b">
        <v>0</v>
      </c>
      <c r="Y65" s="8" t="b">
        <v>0</v>
      </c>
      <c r="Z65" s="8" t="b">
        <v>1</v>
      </c>
      <c r="AA65" s="23" t="n">
        <v>46217</v>
      </c>
      <c r="AB65" s="8" t="n">
        <v>32</v>
      </c>
      <c r="AC65" s="23" t="n">
        <v>46217</v>
      </c>
      <c r="AD65" s="8" t="inlineStr">
        <is>
          <t>https://app.fireflies.ai/view/01KXF2JV34XDWK8PT436MZ1X5N</t>
        </is>
      </c>
      <c r="AE65" s="8" t="inlineStr">
        <is>
          <t>https://app.fireflies.ai/view/01KXF2JV34XDWK8PT436MZ1X5N</t>
        </is>
      </c>
    </row>
    <row r="66">
      <c r="A66" s="11" t="inlineStr">
        <is>
          <t>Wholistic Essence</t>
        </is>
      </c>
      <c r="B66" s="11" t="inlineStr">
        <is>
          <t>wciw1423@gmail.com</t>
        </is>
      </c>
      <c r="C66" s="12" t="n">
        <v>150</v>
      </c>
      <c r="D66" s="11" t="inlineStr">
        <is>
          <t>active</t>
        </is>
      </c>
      <c r="E66" s="24" t="n">
        <v>46217</v>
      </c>
      <c r="F66" s="24" t="n">
        <v>46217</v>
      </c>
      <c r="G66" s="11" t="n">
        <v>1</v>
      </c>
      <c r="H66" s="11" t="n">
        <v>1</v>
      </c>
      <c r="I66" s="32" t="inlineStr">
        <is>
          <t>Wholistic Essence X Zoca | Check In July</t>
        </is>
      </c>
      <c r="J66" s="11" t="b">
        <v>0</v>
      </c>
      <c r="K66" s="24" t="n"/>
      <c r="L66" s="11" t="b">
        <v>0</v>
      </c>
      <c r="M66" s="11" t="b">
        <v>0</v>
      </c>
      <c r="N66" s="11" t="b">
        <v>0</v>
      </c>
      <c r="O66" s="11" t="b">
        <v>0</v>
      </c>
      <c r="P66" s="11" t="n">
        <v>0</v>
      </c>
      <c r="Q66" s="11" t="n">
        <v>0</v>
      </c>
      <c r="R66" s="24" t="n"/>
      <c r="S66" s="11" t="b">
        <v>0</v>
      </c>
      <c r="T66" s="11" t="b">
        <v>1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24" t="n">
        <v>46217</v>
      </c>
      <c r="AB66" s="11" t="n">
        <v>29</v>
      </c>
      <c r="AC66" s="24" t="n">
        <v>46217</v>
      </c>
      <c r="AD66" s="11" t="inlineStr">
        <is>
          <t>https://app.fireflies.ai/view/01KXEJAWSX2XGK0W8ZZ1VDEP1N</t>
        </is>
      </c>
      <c r="AE66" s="11" t="inlineStr">
        <is>
          <t>https://app.fireflies.ai/view/01KXEJAWSX2XGK0W8ZZ1VDEP1N</t>
        </is>
      </c>
    </row>
    <row r="67">
      <c r="A67" s="8" t="inlineStr">
        <is>
          <t>Merolin-Spa Skin Well</t>
        </is>
      </c>
      <c r="B67" s="8" t="inlineStr">
        <is>
          <t>spa@shopskinwell.com</t>
        </is>
      </c>
      <c r="C67" s="9" t="n">
        <v>200</v>
      </c>
      <c r="D67" s="8" t="inlineStr">
        <is>
          <t>active</t>
        </is>
      </c>
      <c r="E67" s="23" t="n">
        <v>46217</v>
      </c>
      <c r="F67" s="23" t="n">
        <v>46217</v>
      </c>
      <c r="G67" s="8" t="n">
        <v>1</v>
      </c>
      <c r="H67" s="8" t="n">
        <v>1</v>
      </c>
      <c r="I67" s="31" t="inlineStr">
        <is>
          <t>Zoca - Merolin-Spa Skin Well</t>
        </is>
      </c>
      <c r="J67" s="8" t="b">
        <v>0</v>
      </c>
      <c r="K67" s="23" t="n">
        <v>46218</v>
      </c>
      <c r="L67" s="8" t="b">
        <v>1</v>
      </c>
      <c r="M67" s="8" t="b">
        <v>0</v>
      </c>
      <c r="N67" s="8" t="b">
        <v>0</v>
      </c>
      <c r="O67" s="8" t="b">
        <v>0</v>
      </c>
      <c r="P67" s="8" t="n">
        <v>0</v>
      </c>
      <c r="Q67" s="8" t="n">
        <v>0</v>
      </c>
      <c r="R67" s="23" t="n"/>
      <c r="S67" s="8" t="b">
        <v>0</v>
      </c>
      <c r="T67" s="8" t="b">
        <v>0</v>
      </c>
      <c r="U67" s="8" t="b">
        <v>0</v>
      </c>
      <c r="V67" s="8" t="b">
        <v>0</v>
      </c>
      <c r="W67" s="8" t="b">
        <v>0</v>
      </c>
      <c r="X67" s="8" t="b">
        <v>0</v>
      </c>
      <c r="Y67" s="8" t="b">
        <v>0</v>
      </c>
      <c r="Z67" s="8" t="b">
        <v>1</v>
      </c>
      <c r="AA67" s="23" t="n">
        <v>46217</v>
      </c>
      <c r="AB67" s="8" t="n">
        <v>26</v>
      </c>
      <c r="AC67" s="23" t="n">
        <v>46217</v>
      </c>
      <c r="AD67" s="8" t="inlineStr">
        <is>
          <t>https://app.fireflies.ai/view/01KXEEYWG04BVERWEGMXP7712W</t>
        </is>
      </c>
      <c r="AE67" s="8" t="inlineStr">
        <is>
          <t>https://app.fireflies.ai/view/01KXEEYWG04BVERWEGMXP7712W</t>
        </is>
      </c>
    </row>
    <row r="68">
      <c r="A68" s="11" t="inlineStr">
        <is>
          <t>Zoca</t>
        </is>
      </c>
      <c r="B68" s="11" t="inlineStr">
        <is>
          <t>danielleruas2@gmail.com</t>
        </is>
      </c>
      <c r="C68" s="12" t="n"/>
      <c r="D68" s="11" t="n"/>
      <c r="E68" s="24" t="n">
        <v>46218</v>
      </c>
      <c r="F68" s="24" t="n">
        <v>46218</v>
      </c>
      <c r="G68" s="11" t="n">
        <v>2</v>
      </c>
      <c r="H68" s="11" t="n">
        <v>2</v>
      </c>
      <c r="I68" s="32" t="inlineStr">
        <is>
          <t>Zoca &lt;&gt; Head Spa Bar</t>
        </is>
      </c>
      <c r="J68" s="11" t="b">
        <v>0</v>
      </c>
      <c r="K68" s="24" t="n"/>
      <c r="L68" s="11" t="b">
        <v>0</v>
      </c>
      <c r="M68" s="11" t="b">
        <v>0</v>
      </c>
      <c r="N68" s="11" t="b">
        <v>0</v>
      </c>
      <c r="O68" s="11" t="b">
        <v>0</v>
      </c>
      <c r="P68" s="11" t="n">
        <v>0</v>
      </c>
      <c r="Q68" s="11" t="n">
        <v>0</v>
      </c>
      <c r="R68" s="24" t="n"/>
      <c r="S68" s="11" t="b">
        <v>0</v>
      </c>
      <c r="T68" s="11" t="b">
        <v>1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24" t="n">
        <v>46218</v>
      </c>
      <c r="AB68" s="11" t="n">
        <v>16</v>
      </c>
      <c r="AC68" s="24" t="n">
        <v>46218</v>
      </c>
      <c r="AD68" s="11" t="inlineStr">
        <is>
          <t>https://app.fireflies.ai/view/01KXHHGQGF5FG2VJAR7QCEPNFZ</t>
        </is>
      </c>
      <c r="AE68" s="11" t="inlineStr">
        <is>
          <t>https://app.fireflies.ai/view/01KXHJG88S4RZ1SWAYJJMW4TFP</t>
        </is>
      </c>
    </row>
    <row r="69">
      <c r="A69" s="8" t="inlineStr">
        <is>
          <t>Unique Beauty Salon</t>
        </is>
      </c>
      <c r="B69" s="8" t="inlineStr">
        <is>
          <t>uniquebeautysalon21@gmail.com</t>
        </is>
      </c>
      <c r="C69" s="9" t="n">
        <v>200</v>
      </c>
      <c r="D69" s="8" t="inlineStr">
        <is>
          <t>active</t>
        </is>
      </c>
      <c r="E69" s="23" t="n">
        <v>46218</v>
      </c>
      <c r="F69" s="23" t="n">
        <v>46220</v>
      </c>
      <c r="G69" s="8" t="n">
        <v>2</v>
      </c>
      <c r="H69" s="8" t="n">
        <v>1</v>
      </c>
      <c r="I69" s="31" t="inlineStr">
        <is>
          <t>Unique Beauty Salon X Zoca | Check In July</t>
        </is>
      </c>
      <c r="J69" s="8" t="b">
        <v>1</v>
      </c>
      <c r="K69" s="23" t="n">
        <v>46175</v>
      </c>
      <c r="L69" s="8" t="b">
        <v>1</v>
      </c>
      <c r="M69" s="8" t="b">
        <v>1</v>
      </c>
      <c r="N69" s="8" t="b">
        <v>1</v>
      </c>
      <c r="O69" s="8" t="b">
        <v>0</v>
      </c>
      <c r="P69" s="8" t="n">
        <v>52</v>
      </c>
      <c r="Q69" s="8" t="n">
        <v>12</v>
      </c>
      <c r="R69" s="23" t="n">
        <v>46237</v>
      </c>
      <c r="S69" s="8" t="b">
        <v>0</v>
      </c>
      <c r="T69" s="8" t="b">
        <v>0</v>
      </c>
      <c r="U69" s="8" t="b">
        <v>0</v>
      </c>
      <c r="V69" s="8" t="b">
        <v>0</v>
      </c>
      <c r="W69" s="8" t="b">
        <v>0</v>
      </c>
      <c r="X69" s="8" t="b">
        <v>0</v>
      </c>
      <c r="Y69" s="8" t="b">
        <v>0</v>
      </c>
      <c r="Z69" s="8" t="b">
        <v>0</v>
      </c>
      <c r="AA69" s="23" t="n">
        <v>46218</v>
      </c>
      <c r="AB69" s="8" t="n"/>
      <c r="AC69" s="23" t="n">
        <v>46218</v>
      </c>
      <c r="AD69" s="8" t="inlineStr">
        <is>
          <t>https://app.fireflies.ai/view/01KXK1MEGAC73ZKX55T6TP5QR8</t>
        </is>
      </c>
      <c r="AE69" s="8" t="inlineStr">
        <is>
          <t>https://app.fireflies.ai/view/01KXK1MEGAC73ZKX55T6TP5QR8</t>
        </is>
      </c>
    </row>
    <row r="70">
      <c r="A70" s="11" t="inlineStr">
        <is>
          <t>The Facial Room</t>
        </is>
      </c>
      <c r="B70" s="11" t="inlineStr">
        <is>
          <t>tfacialroom@gmail.com</t>
        </is>
      </c>
      <c r="C70" s="12" t="n">
        <v>250</v>
      </c>
      <c r="D70" s="11" t="inlineStr">
        <is>
          <t>active</t>
        </is>
      </c>
      <c r="E70" s="24" t="n">
        <v>46218</v>
      </c>
      <c r="F70" s="24" t="n">
        <v>46218</v>
      </c>
      <c r="G70" s="11" t="n">
        <v>1</v>
      </c>
      <c r="H70" s="11" t="n">
        <v>1</v>
      </c>
      <c r="I70" s="32" t="inlineStr">
        <is>
          <t>The Facial Room X Zoca | Check In July</t>
        </is>
      </c>
      <c r="J70" s="11" t="b">
        <v>0</v>
      </c>
      <c r="K70" s="24" t="n"/>
      <c r="L70" s="11" t="b">
        <v>0</v>
      </c>
      <c r="M70" s="11" t="b">
        <v>0</v>
      </c>
      <c r="N70" s="11" t="b">
        <v>0</v>
      </c>
      <c r="O70" s="11" t="b">
        <v>0</v>
      </c>
      <c r="P70" s="11" t="n">
        <v>0</v>
      </c>
      <c r="Q70" s="11" t="n">
        <v>0</v>
      </c>
      <c r="R70" s="24" t="n"/>
      <c r="S70" s="11" t="b">
        <v>0</v>
      </c>
      <c r="T70" s="11" t="b">
        <v>0</v>
      </c>
      <c r="U70" s="11" t="b">
        <v>0</v>
      </c>
      <c r="V70" s="11" t="b">
        <v>1</v>
      </c>
      <c r="W70" s="11" t="b">
        <v>0</v>
      </c>
      <c r="X70" s="11" t="b">
        <v>0</v>
      </c>
      <c r="Y70" s="11" t="b">
        <v>0</v>
      </c>
      <c r="Z70" s="11" t="b">
        <v>1</v>
      </c>
      <c r="AA70" s="24" t="n">
        <v>46218</v>
      </c>
      <c r="AB70" s="11" t="n"/>
      <c r="AC70" s="24" t="n">
        <v>46218</v>
      </c>
      <c r="AD70" s="11" t="inlineStr">
        <is>
          <t>https://app.fireflies.ai/view/01KXEF15P3FR4ZKH42455BJSR8</t>
        </is>
      </c>
      <c r="AE70" s="11" t="inlineStr">
        <is>
          <t>https://app.fireflies.ai/view/01KXEF15P3FR4ZKH42455BJSR8</t>
        </is>
      </c>
    </row>
    <row r="71">
      <c r="A71" s="8" t="inlineStr">
        <is>
          <t>Zoca</t>
        </is>
      </c>
      <c r="B71" s="8" t="inlineStr">
        <is>
          <t>billiejostaten@yahoo.com</t>
        </is>
      </c>
      <c r="C71" s="9" t="n">
        <v>150</v>
      </c>
      <c r="D71" s="8" t="inlineStr">
        <is>
          <t>active</t>
        </is>
      </c>
      <c r="E71" s="23" t="n">
        <v>46218</v>
      </c>
      <c r="F71" s="23" t="n">
        <v>46234</v>
      </c>
      <c r="G71" s="8" t="n">
        <v>4</v>
      </c>
      <c r="H71" s="8" t="n">
        <v>2</v>
      </c>
      <c r="I71" s="31" t="inlineStr">
        <is>
          <t>Zoca &lt;&gt; Avon Beauty Salon</t>
        </is>
      </c>
      <c r="J71" s="8" t="b">
        <v>0</v>
      </c>
      <c r="K71" s="23" t="n">
        <v>46230</v>
      </c>
      <c r="L71" s="8" t="b">
        <v>1</v>
      </c>
      <c r="M71" s="8" t="b">
        <v>0</v>
      </c>
      <c r="N71" s="8" t="b">
        <v>0</v>
      </c>
      <c r="O71" s="8" t="b">
        <v>0</v>
      </c>
      <c r="P71" s="8" t="n">
        <v>0</v>
      </c>
      <c r="Q71" s="8" t="n">
        <v>0</v>
      </c>
      <c r="R71" s="23" t="n"/>
      <c r="S71" s="8" t="b">
        <v>0</v>
      </c>
      <c r="T71" s="8" t="b">
        <v>0</v>
      </c>
      <c r="U71" s="8" t="b">
        <v>1</v>
      </c>
      <c r="V71" s="8" t="b">
        <v>1</v>
      </c>
      <c r="W71" s="8" t="b">
        <v>0</v>
      </c>
      <c r="X71" s="8" t="b">
        <v>0</v>
      </c>
      <c r="Y71" s="8" t="b">
        <v>0</v>
      </c>
      <c r="Z71" s="8" t="b">
        <v>1</v>
      </c>
      <c r="AA71" s="23" t="n">
        <v>46218</v>
      </c>
      <c r="AB71" s="8" t="n">
        <v>20</v>
      </c>
      <c r="AC71" s="23" t="n">
        <v>46233</v>
      </c>
      <c r="AD71" s="8" t="inlineStr">
        <is>
          <t>https://app.fireflies.ai/view/01KXKQHD1QPRY1EX79ZTCTZNKD</t>
        </is>
      </c>
      <c r="AE71" s="8" t="inlineStr">
        <is>
          <t>https://app.fireflies.ai/view/01KYQS3BB5BNN0QMJQ9NMBV6Q3</t>
        </is>
      </c>
    </row>
    <row r="72">
      <c r="A72" s="11" t="inlineStr">
        <is>
          <t>Zoca</t>
        </is>
      </c>
      <c r="B72" s="11" t="inlineStr">
        <is>
          <t>noendofstudio@gmail.com</t>
        </is>
      </c>
      <c r="C72" s="12" t="n">
        <v>200</v>
      </c>
      <c r="D72" s="11" t="inlineStr">
        <is>
          <t>active</t>
        </is>
      </c>
      <c r="E72" s="24" t="n">
        <v>46218</v>
      </c>
      <c r="F72" s="24" t="n">
        <v>46218</v>
      </c>
      <c r="G72" s="11" t="n">
        <v>1</v>
      </c>
      <c r="H72" s="11" t="n">
        <v>1</v>
      </c>
      <c r="I72" s="32" t="inlineStr">
        <is>
          <t>Zoca &lt;&gt; Noendof Hair Studio</t>
        </is>
      </c>
      <c r="J72" s="11" t="b">
        <v>0</v>
      </c>
      <c r="K72" s="24" t="n"/>
      <c r="L72" s="11" t="b">
        <v>0</v>
      </c>
      <c r="M72" s="11" t="b">
        <v>0</v>
      </c>
      <c r="N72" s="11" t="b">
        <v>0</v>
      </c>
      <c r="O72" s="11" t="b">
        <v>0</v>
      </c>
      <c r="P72" s="11" t="n">
        <v>0</v>
      </c>
      <c r="Q72" s="11" t="n">
        <v>0</v>
      </c>
      <c r="R72" s="24" t="n"/>
      <c r="S72" s="11" t="b">
        <v>0</v>
      </c>
      <c r="T72" s="11" t="b">
        <v>0</v>
      </c>
      <c r="U72" s="11" t="b">
        <v>0</v>
      </c>
      <c r="V72" s="11" t="b">
        <v>1</v>
      </c>
      <c r="W72" s="11" t="b">
        <v>0</v>
      </c>
      <c r="X72" s="11" t="b">
        <v>0</v>
      </c>
      <c r="Y72" s="11" t="b">
        <v>0</v>
      </c>
      <c r="Z72" s="11" t="b">
        <v>0</v>
      </c>
      <c r="AA72" s="24" t="n">
        <v>46218</v>
      </c>
      <c r="AB72" s="11" t="n">
        <v>50</v>
      </c>
      <c r="AC72" s="24" t="n">
        <v>46218</v>
      </c>
      <c r="AD72" s="11" t="inlineStr">
        <is>
          <t>https://app.fireflies.ai/view/01KXKDRMNFPPA5559E2YX0T38M</t>
        </is>
      </c>
      <c r="AE72" s="11" t="inlineStr">
        <is>
          <t>https://app.fireflies.ai/view/01KXKDRMNFPPA5559E2YX0T38M</t>
        </is>
      </c>
    </row>
    <row r="73">
      <c r="A73" s="8" t="inlineStr">
        <is>
          <t>Zoca</t>
        </is>
      </c>
      <c r="B73" s="8" t="inlineStr">
        <is>
          <t>info@nexmedaesthetics.com</t>
        </is>
      </c>
      <c r="C73" s="9" t="n">
        <v>249</v>
      </c>
      <c r="D73" s="8" t="inlineStr">
        <is>
          <t>active</t>
        </is>
      </c>
      <c r="E73" s="23" t="n">
        <v>46218</v>
      </c>
      <c r="F73" s="23" t="n">
        <v>46223</v>
      </c>
      <c r="G73" s="8" t="n">
        <v>2</v>
      </c>
      <c r="H73" s="8" t="n">
        <v>1</v>
      </c>
      <c r="I73" s="31" t="inlineStr">
        <is>
          <t>Zoca &lt;&gt; Nex Med Aesthetics</t>
        </is>
      </c>
      <c r="J73" s="8" t="b">
        <v>0</v>
      </c>
      <c r="K73" s="23" t="n"/>
      <c r="L73" s="8" t="b">
        <v>0</v>
      </c>
      <c r="M73" s="8" t="b">
        <v>0</v>
      </c>
      <c r="N73" s="8" t="b">
        <v>0</v>
      </c>
      <c r="O73" s="8" t="b">
        <v>0</v>
      </c>
      <c r="P73" s="8" t="n">
        <v>0</v>
      </c>
      <c r="Q73" s="8" t="n">
        <v>0</v>
      </c>
      <c r="R73" s="23" t="n"/>
      <c r="S73" s="8" t="b">
        <v>0</v>
      </c>
      <c r="T73" s="8" t="b">
        <v>0</v>
      </c>
      <c r="U73" s="8" t="b">
        <v>0</v>
      </c>
      <c r="V73" s="8" t="b">
        <v>0</v>
      </c>
      <c r="W73" s="8" t="b">
        <v>0</v>
      </c>
      <c r="X73" s="8" t="b">
        <v>0</v>
      </c>
      <c r="Y73" s="8" t="b">
        <v>0</v>
      </c>
      <c r="Z73" s="8" t="b">
        <v>0</v>
      </c>
      <c r="AA73" s="23" t="n">
        <v>46223</v>
      </c>
      <c r="AB73" s="8" t="n">
        <v>74</v>
      </c>
      <c r="AC73" s="23" t="n">
        <v>46223</v>
      </c>
      <c r="AD73" s="8" t="inlineStr">
        <is>
          <t>https://app.fireflies.ai/view/01KXKWZCNSBZG71BYJBHZ06H8K</t>
        </is>
      </c>
      <c r="AE73" s="8" t="inlineStr">
        <is>
          <t>https://app.fireflies.ai/view/01KXKWZCNSBZG71BYJBHZ06H8K</t>
        </is>
      </c>
    </row>
    <row r="74">
      <c r="A74" s="11" t="inlineStr">
        <is>
          <t>Mora &amp; Zoca</t>
        </is>
      </c>
      <c r="B74" s="11" t="inlineStr">
        <is>
          <t>corrine3963@gmail.com</t>
        </is>
      </c>
      <c r="C74" s="12" t="n"/>
      <c r="D74" s="11" t="n"/>
      <c r="E74" s="24" t="n">
        <v>46219</v>
      </c>
      <c r="F74" s="24" t="n">
        <v>46219</v>
      </c>
      <c r="G74" s="11" t="n">
        <v>1</v>
      </c>
      <c r="H74" s="11" t="n">
        <v>1</v>
      </c>
      <c r="I74" s="32" t="inlineStr">
        <is>
          <t>Mora &amp; Zoca</t>
        </is>
      </c>
      <c r="J74" s="11" t="b">
        <v>0</v>
      </c>
      <c r="K74" s="24" t="n"/>
      <c r="L74" s="11" t="b">
        <v>0</v>
      </c>
      <c r="M74" s="11" t="b">
        <v>0</v>
      </c>
      <c r="N74" s="11" t="b">
        <v>0</v>
      </c>
      <c r="O74" s="11" t="b">
        <v>0</v>
      </c>
      <c r="P74" s="11" t="n">
        <v>0</v>
      </c>
      <c r="Q74" s="11" t="n">
        <v>0</v>
      </c>
      <c r="R74" s="24" t="n"/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1</v>
      </c>
      <c r="AA74" s="24" t="n">
        <v>46219</v>
      </c>
      <c r="AB74" s="11" t="n">
        <v>40</v>
      </c>
      <c r="AC74" s="24" t="n">
        <v>46219</v>
      </c>
      <c r="AD74" s="11" t="inlineStr">
        <is>
          <t>https://app.fireflies.ai/view/01KXK1QEKDY8T4A2DMMTH7N9V9</t>
        </is>
      </c>
      <c r="AE74" s="11" t="inlineStr">
        <is>
          <t>https://app.fireflies.ai/view/01KXK1QEKDY8T4A2DMMTH7N9V9</t>
        </is>
      </c>
    </row>
    <row r="75">
      <c r="A75" s="8" t="inlineStr">
        <is>
          <t>ZOCA</t>
        </is>
      </c>
      <c r="B75" s="8" t="inlineStr">
        <is>
          <t>info@thewowstudio.net</t>
        </is>
      </c>
      <c r="C75" s="9" t="n">
        <v>250</v>
      </c>
      <c r="D75" s="8" t="inlineStr">
        <is>
          <t>active</t>
        </is>
      </c>
      <c r="E75" s="23" t="n">
        <v>46219</v>
      </c>
      <c r="F75" s="23" t="n">
        <v>46219</v>
      </c>
      <c r="G75" s="8" t="n">
        <v>1</v>
      </c>
      <c r="H75" s="8" t="n">
        <v>1</v>
      </c>
      <c r="I75" s="31" t="inlineStr">
        <is>
          <t>ZOCA &lt;&gt; DeylineBedoya</t>
        </is>
      </c>
      <c r="J75" s="8" t="b">
        <v>0</v>
      </c>
      <c r="K75" s="23" t="n"/>
      <c r="L75" s="8" t="b">
        <v>0</v>
      </c>
      <c r="M75" s="8" t="b">
        <v>0</v>
      </c>
      <c r="N75" s="8" t="b">
        <v>0</v>
      </c>
      <c r="O75" s="8" t="b">
        <v>0</v>
      </c>
      <c r="P75" s="8" t="n">
        <v>0</v>
      </c>
      <c r="Q75" s="8" t="n">
        <v>0</v>
      </c>
      <c r="R75" s="23" t="n"/>
      <c r="S75" s="8" t="b">
        <v>0</v>
      </c>
      <c r="T75" s="8" t="b">
        <v>0</v>
      </c>
      <c r="U75" s="8" t="b">
        <v>0</v>
      </c>
      <c r="V75" s="8" t="b">
        <v>0</v>
      </c>
      <c r="W75" s="8" t="b">
        <v>0</v>
      </c>
      <c r="X75" s="8" t="b">
        <v>0</v>
      </c>
      <c r="Y75" s="8" t="b">
        <v>0</v>
      </c>
      <c r="Z75" s="8" t="b">
        <v>0</v>
      </c>
      <c r="AA75" s="23" t="n">
        <v>46219</v>
      </c>
      <c r="AB75" s="8" t="n">
        <v>64</v>
      </c>
      <c r="AC75" s="23" t="n">
        <v>46219</v>
      </c>
      <c r="AD75" s="8" t="inlineStr">
        <is>
          <t>https://app.fireflies.ai/view/01KXKCVC20YTKB0TKZTV3QYNH9</t>
        </is>
      </c>
      <c r="AE75" s="8" t="inlineStr">
        <is>
          <t>https://app.fireflies.ai/view/01KXKCVC20YTKB0TKZTV3QYNH9</t>
        </is>
      </c>
    </row>
    <row r="76">
      <c r="A76" s="11" t="inlineStr">
        <is>
          <t>Braiding Hair Max of Baltimore</t>
        </is>
      </c>
      <c r="B76" s="11" t="inlineStr">
        <is>
          <t>gloirenicky0@gmail.com</t>
        </is>
      </c>
      <c r="C76" s="12" t="n">
        <v>150</v>
      </c>
      <c r="D76" s="11" t="inlineStr">
        <is>
          <t>active</t>
        </is>
      </c>
      <c r="E76" s="24" t="n">
        <v>46220</v>
      </c>
      <c r="F76" s="24" t="n">
        <v>46231</v>
      </c>
      <c r="G76" s="11" t="n">
        <v>2</v>
      </c>
      <c r="H76" s="11" t="n">
        <v>2</v>
      </c>
      <c r="I76" s="32" t="inlineStr">
        <is>
          <t>Braiding Hair Max of Baltimore X Zoca | Check In July</t>
        </is>
      </c>
      <c r="J76" s="11" t="b">
        <v>0</v>
      </c>
      <c r="K76" s="24" t="n">
        <v>46220</v>
      </c>
      <c r="L76" s="11" t="b">
        <v>1</v>
      </c>
      <c r="M76" s="11" t="b">
        <v>1</v>
      </c>
      <c r="N76" s="11" t="b">
        <v>1</v>
      </c>
      <c r="O76" s="11" t="b">
        <v>1</v>
      </c>
      <c r="P76" s="11" t="n">
        <v>2</v>
      </c>
      <c r="Q76" s="11" t="n">
        <v>2</v>
      </c>
      <c r="R76" s="24" t="n">
        <v>46234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1</v>
      </c>
      <c r="AA76" s="24" t="n">
        <v>46220</v>
      </c>
      <c r="AB76" s="11" t="n">
        <v>106</v>
      </c>
      <c r="AC76" s="24" t="n">
        <v>46231</v>
      </c>
      <c r="AD76" s="11" t="inlineStr">
        <is>
          <t>https://app.fireflies.ai/view/01KXR8PNBPYKQBEXA4M0TG0KNX</t>
        </is>
      </c>
      <c r="AE76" s="11" t="inlineStr">
        <is>
          <t>https://app.fireflies.ai/view/01KYMJJPMQPGPDT12PTPBKTT5Z</t>
        </is>
      </c>
    </row>
    <row r="77">
      <c r="A77" s="8" t="inlineStr">
        <is>
          <t>Profiles Nails and Beauty Salon</t>
        </is>
      </c>
      <c r="B77" s="8" t="inlineStr">
        <is>
          <t>profilesofbonita@gmail.com</t>
        </is>
      </c>
      <c r="C77" s="9" t="n">
        <v>150</v>
      </c>
      <c r="D77" s="8" t="inlineStr">
        <is>
          <t>active</t>
        </is>
      </c>
      <c r="E77" s="23" t="n">
        <v>46220</v>
      </c>
      <c r="F77" s="23" t="n">
        <v>46226</v>
      </c>
      <c r="G77" s="8" t="n">
        <v>2</v>
      </c>
      <c r="H77" s="8" t="n">
        <v>1</v>
      </c>
      <c r="I77" s="31" t="inlineStr">
        <is>
          <t>Profiles Nails and Beauty Salon X Zoca | Check In July</t>
        </is>
      </c>
      <c r="J77" s="8" t="b">
        <v>0</v>
      </c>
      <c r="K77" s="23" t="n">
        <v>46220</v>
      </c>
      <c r="L77" s="8" t="b">
        <v>1</v>
      </c>
      <c r="M77" s="8" t="b">
        <v>1</v>
      </c>
      <c r="N77" s="8" t="b">
        <v>1</v>
      </c>
      <c r="O77" s="8" t="b">
        <v>0</v>
      </c>
      <c r="P77" s="8" t="n">
        <v>3</v>
      </c>
      <c r="Q77" s="8" t="n">
        <v>3</v>
      </c>
      <c r="R77" s="23" t="n">
        <v>46235</v>
      </c>
      <c r="S77" s="8" t="b">
        <v>0</v>
      </c>
      <c r="T77" s="8" t="b">
        <v>0</v>
      </c>
      <c r="U77" s="8" t="b">
        <v>0</v>
      </c>
      <c r="V77" s="8" t="b">
        <v>0</v>
      </c>
      <c r="W77" s="8" t="b">
        <v>0</v>
      </c>
      <c r="X77" s="8" t="b">
        <v>0</v>
      </c>
      <c r="Y77" s="8" t="b">
        <v>0</v>
      </c>
      <c r="Z77" s="8" t="b">
        <v>1</v>
      </c>
      <c r="AA77" s="23" t="n">
        <v>46226</v>
      </c>
      <c r="AB77" s="8" t="n">
        <v>36</v>
      </c>
      <c r="AC77" s="23" t="n">
        <v>46226</v>
      </c>
      <c r="AD77" s="8" t="inlineStr">
        <is>
          <t>https://app.fireflies.ai/view/01KY5W2XCDD1NFTJF9S3QY2CBB</t>
        </is>
      </c>
      <c r="AE77" s="8" t="inlineStr">
        <is>
          <t>https://app.fireflies.ai/view/01KY5W2XCDD1NFTJF9S3QY2CBB</t>
        </is>
      </c>
    </row>
    <row r="78">
      <c r="A78" s="11" t="inlineStr">
        <is>
          <t>Golden Jade Massage &amp; Healing</t>
        </is>
      </c>
      <c r="B78" s="11" t="inlineStr">
        <is>
          <t>goldenjade.mh@gmail.com</t>
        </is>
      </c>
      <c r="C78" s="12" t="n">
        <v>349</v>
      </c>
      <c r="D78" s="11" t="inlineStr">
        <is>
          <t>active</t>
        </is>
      </c>
      <c r="E78" s="24" t="n">
        <v>46220</v>
      </c>
      <c r="F78" s="24" t="n">
        <v>46232</v>
      </c>
      <c r="G78" s="11" t="n">
        <v>2</v>
      </c>
      <c r="H78" s="11" t="n">
        <v>2</v>
      </c>
      <c r="I78" s="32" t="inlineStr">
        <is>
          <t>Golden Jade Massage &amp; Healing X Zoca | Check In July</t>
        </is>
      </c>
      <c r="J78" s="11" t="b">
        <v>0</v>
      </c>
      <c r="K78" s="24" t="n">
        <v>46232</v>
      </c>
      <c r="L78" s="11" t="b">
        <v>1</v>
      </c>
      <c r="M78" s="11" t="b">
        <v>1</v>
      </c>
      <c r="N78" s="11" t="b">
        <v>1</v>
      </c>
      <c r="O78" s="11" t="b">
        <v>0</v>
      </c>
      <c r="P78" s="11" t="n">
        <v>10</v>
      </c>
      <c r="Q78" s="11" t="n">
        <v>6</v>
      </c>
      <c r="R78" s="24" t="n">
        <v>46236</v>
      </c>
      <c r="S78" s="11" t="b">
        <v>0</v>
      </c>
      <c r="T78" s="11" t="b">
        <v>0</v>
      </c>
      <c r="U78" s="11" t="b">
        <v>0</v>
      </c>
      <c r="V78" s="11" t="b">
        <v>1</v>
      </c>
      <c r="W78" s="11" t="b">
        <v>0</v>
      </c>
      <c r="X78" s="11" t="b">
        <v>0</v>
      </c>
      <c r="Y78" s="11" t="b">
        <v>0</v>
      </c>
      <c r="Z78" s="11" t="b">
        <v>1</v>
      </c>
      <c r="AA78" s="24" t="n">
        <v>46220</v>
      </c>
      <c r="AB78" s="11" t="n">
        <v>55</v>
      </c>
      <c r="AC78" s="24" t="n">
        <v>46232</v>
      </c>
      <c r="AD78" s="11" t="inlineStr">
        <is>
          <t>https://app.fireflies.ai/view/01KXPEXVJ30Q3YMN5NGQ9SW9EM</t>
        </is>
      </c>
      <c r="AE78" s="11" t="inlineStr">
        <is>
          <t>https://app.fireflies.ai/view/01KYMECCSQ45VTXFC2XEP8V1E4</t>
        </is>
      </c>
    </row>
    <row r="79">
      <c r="A79" s="8" t="inlineStr">
        <is>
          <t>Zoca</t>
        </is>
      </c>
      <c r="B79" s="8" t="inlineStr">
        <is>
          <t>lea.stylingco@gmail.com</t>
        </is>
      </c>
      <c r="C79" s="9" t="n">
        <v>200</v>
      </c>
      <c r="D79" s="8" t="inlineStr">
        <is>
          <t>active</t>
        </is>
      </c>
      <c r="E79" s="23" t="n">
        <v>46220</v>
      </c>
      <c r="F79" s="23" t="n">
        <v>46220</v>
      </c>
      <c r="G79" s="8" t="n">
        <v>1</v>
      </c>
      <c r="H79" s="8" t="n">
        <v>1</v>
      </c>
      <c r="I79" s="31" t="inlineStr">
        <is>
          <t>Zoca &lt;&gt; Styling Company Belmar</t>
        </is>
      </c>
      <c r="J79" s="8" t="b">
        <v>0</v>
      </c>
      <c r="K79" s="23" t="n"/>
      <c r="L79" s="8" t="b">
        <v>0</v>
      </c>
      <c r="M79" s="8" t="b">
        <v>0</v>
      </c>
      <c r="N79" s="8" t="b">
        <v>0</v>
      </c>
      <c r="O79" s="8" t="b">
        <v>0</v>
      </c>
      <c r="P79" s="8" t="n">
        <v>0</v>
      </c>
      <c r="Q79" s="8" t="n">
        <v>0</v>
      </c>
      <c r="R79" s="23" t="n"/>
      <c r="S79" s="8" t="b">
        <v>0</v>
      </c>
      <c r="T79" s="8" t="b">
        <v>0</v>
      </c>
      <c r="U79" s="8" t="b">
        <v>0</v>
      </c>
      <c r="V79" s="8" t="b">
        <v>0</v>
      </c>
      <c r="W79" s="8" t="b">
        <v>0</v>
      </c>
      <c r="X79" s="8" t="b">
        <v>0</v>
      </c>
      <c r="Y79" s="8" t="b">
        <v>0</v>
      </c>
      <c r="Z79" s="8" t="b">
        <v>0</v>
      </c>
      <c r="AA79" s="23" t="n">
        <v>46220</v>
      </c>
      <c r="AB79" s="8" t="n">
        <v>36</v>
      </c>
      <c r="AC79" s="23" t="n">
        <v>46220</v>
      </c>
      <c r="AD79" s="8" t="inlineStr">
        <is>
          <t>https://app.fireflies.ai/view/01KXKAATCTNXTJJZQ1EHDMHVQQ</t>
        </is>
      </c>
      <c r="AE79" s="8" t="inlineStr">
        <is>
          <t>https://app.fireflies.ai/view/01KXKAATCTNXTJJZQ1EHDMHVQQ</t>
        </is>
      </c>
    </row>
    <row r="80">
      <c r="A80" s="11" t="inlineStr">
        <is>
          <t>Vita Aesthetics &amp; Wellness</t>
        </is>
      </c>
      <c r="B80" s="11" t="inlineStr">
        <is>
          <t>Nick@montesmedical.com</t>
        </is>
      </c>
      <c r="C80" s="12" t="n">
        <v>200</v>
      </c>
      <c r="D80" s="11" t="inlineStr">
        <is>
          <t>active</t>
        </is>
      </c>
      <c r="E80" s="24" t="n">
        <v>46220</v>
      </c>
      <c r="F80" s="24" t="n">
        <v>46227</v>
      </c>
      <c r="G80" s="11" t="n">
        <v>2</v>
      </c>
      <c r="H80" s="11" t="n">
        <v>2</v>
      </c>
      <c r="I80" s="32" t="inlineStr">
        <is>
          <t>Vita Aesthetics &amp; Wellness &lt;&gt; Check - in</t>
        </is>
      </c>
      <c r="J80" s="11" t="b">
        <v>0</v>
      </c>
      <c r="K80" s="24" t="n"/>
      <c r="L80" s="11" t="b">
        <v>0</v>
      </c>
      <c r="M80" s="11" t="b">
        <v>0</v>
      </c>
      <c r="N80" s="11" t="b">
        <v>0</v>
      </c>
      <c r="O80" s="11" t="b">
        <v>0</v>
      </c>
      <c r="P80" s="11" t="n">
        <v>0</v>
      </c>
      <c r="Q80" s="11" t="n">
        <v>0</v>
      </c>
      <c r="R80" s="24" t="n"/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1</v>
      </c>
      <c r="Z80" s="11" t="b">
        <v>1</v>
      </c>
      <c r="AA80" s="24" t="n">
        <v>46220</v>
      </c>
      <c r="AB80" s="11" t="n"/>
      <c r="AC80" s="24" t="n">
        <v>46227</v>
      </c>
      <c r="AD80" s="11" t="inlineStr">
        <is>
          <t>https://app.fireflies.ai/view/01KXK27KM5XN56T9SVKJYXV2NW</t>
        </is>
      </c>
      <c r="AE80" s="11" t="inlineStr">
        <is>
          <t>https://app.fireflies.ai/view/01KY86SK0Q0KHDVG4W696333D8</t>
        </is>
      </c>
    </row>
    <row r="81">
      <c r="A81" s="8" t="inlineStr">
        <is>
          <t>theconciergetherapist</t>
        </is>
      </c>
      <c r="B81" s="8" t="inlineStr">
        <is>
          <t>theconciergetherapist@gmail.com</t>
        </is>
      </c>
      <c r="C81" s="9" t="n"/>
      <c r="D81" s="8" t="inlineStr">
        <is>
          <t>in_trial</t>
        </is>
      </c>
      <c r="E81" s="23" t="n">
        <v>46223</v>
      </c>
      <c r="F81" s="23" t="n">
        <v>46234</v>
      </c>
      <c r="G81" s="8" t="n">
        <v>3</v>
      </c>
      <c r="H81" s="8" t="n">
        <v>2</v>
      </c>
      <c r="I81" s="31" t="inlineStr">
        <is>
          <t>Zoca &lt;&gt; Dr. Calvin</t>
        </is>
      </c>
      <c r="J81" s="8" t="b">
        <v>0</v>
      </c>
      <c r="K81" s="23" t="n">
        <v>46225</v>
      </c>
      <c r="L81" s="8" t="b">
        <v>1</v>
      </c>
      <c r="M81" s="8" t="b">
        <v>1</v>
      </c>
      <c r="N81" s="8" t="b">
        <v>1</v>
      </c>
      <c r="O81" s="8" t="b">
        <v>0</v>
      </c>
      <c r="P81" s="8" t="n">
        <v>4</v>
      </c>
      <c r="Q81" s="8" t="n">
        <v>4</v>
      </c>
      <c r="R81" s="23" t="n">
        <v>46235</v>
      </c>
      <c r="S81" s="8" t="b">
        <v>0</v>
      </c>
      <c r="T81" s="8" t="b">
        <v>0</v>
      </c>
      <c r="U81" s="8" t="b">
        <v>1</v>
      </c>
      <c r="V81" s="8" t="b">
        <v>0</v>
      </c>
      <c r="W81" s="8" t="b">
        <v>0</v>
      </c>
      <c r="X81" s="8" t="b">
        <v>1</v>
      </c>
      <c r="Y81" s="8" t="b">
        <v>1</v>
      </c>
      <c r="Z81" s="8" t="b">
        <v>1</v>
      </c>
      <c r="AA81" s="23" t="n">
        <v>46223</v>
      </c>
      <c r="AB81" s="8" t="n">
        <v>84</v>
      </c>
      <c r="AC81" s="23" t="n">
        <v>46225</v>
      </c>
      <c r="AD81" s="8" t="inlineStr">
        <is>
          <t>https://app.fireflies.ai/view/01KXV5W2QX9H2GGWF4KMESMY35</t>
        </is>
      </c>
      <c r="AE81" s="8" t="inlineStr">
        <is>
          <t>https://app.fireflies.ai/view/01KY560MEFZ3J4ERBCX5FXBF81</t>
        </is>
      </c>
    </row>
    <row r="82">
      <c r="A82" s="11" t="inlineStr">
        <is>
          <t>Anu &amp; Koji</t>
        </is>
      </c>
      <c r="B82" s="11" t="inlineStr">
        <is>
          <t>bbmemesalon@gmail.com</t>
        </is>
      </c>
      <c r="C82" s="12" t="n">
        <v>249</v>
      </c>
      <c r="D82" s="11" t="inlineStr">
        <is>
          <t>active</t>
        </is>
      </c>
      <c r="E82" s="24" t="n">
        <v>46223</v>
      </c>
      <c r="F82" s="24" t="n">
        <v>46224</v>
      </c>
      <c r="G82" s="11" t="n">
        <v>2</v>
      </c>
      <c r="H82" s="11" t="n">
        <v>1</v>
      </c>
      <c r="I82" s="32" t="inlineStr">
        <is>
          <t>Anu &amp; Koji</t>
        </is>
      </c>
      <c r="J82" s="11" t="b">
        <v>0</v>
      </c>
      <c r="K82" s="24" t="n">
        <v>46224</v>
      </c>
      <c r="L82" s="11" t="b">
        <v>1</v>
      </c>
      <c r="M82" s="11" t="b">
        <v>1</v>
      </c>
      <c r="N82" s="11" t="b">
        <v>1</v>
      </c>
      <c r="O82" s="11" t="b">
        <v>0</v>
      </c>
      <c r="P82" s="11" t="n">
        <v>0</v>
      </c>
      <c r="Q82" s="11" t="n">
        <v>0</v>
      </c>
      <c r="R82" s="24" t="n"/>
      <c r="S82" s="11" t="b">
        <v>0</v>
      </c>
      <c r="T82" s="11" t="b">
        <v>0</v>
      </c>
      <c r="U82" s="11" t="b">
        <v>1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1</v>
      </c>
      <c r="AA82" s="24" t="n">
        <v>46223</v>
      </c>
      <c r="AB82" s="11" t="n">
        <v>23</v>
      </c>
      <c r="AC82" s="24" t="n">
        <v>46223</v>
      </c>
      <c r="AD82" s="11" t="inlineStr">
        <is>
          <t>https://app.fireflies.ai/view/01KY017VA0AV9QKFJKSK8SR1ZG</t>
        </is>
      </c>
      <c r="AE82" s="11" t="inlineStr">
        <is>
          <t>https://app.fireflies.ai/view/01KY017VA0AV9QKFJKSK8SR1ZG</t>
        </is>
      </c>
    </row>
    <row r="83">
      <c r="A83" s="8" t="inlineStr">
        <is>
          <t>Efflorescence Aesthetic and Cellulite Reduction Spa</t>
        </is>
      </c>
      <c r="B83" s="8" t="inlineStr">
        <is>
          <t>debra.mccaslin@comcast.net</t>
        </is>
      </c>
      <c r="C83" s="9" t="n">
        <v>150</v>
      </c>
      <c r="D83" s="8" t="inlineStr">
        <is>
          <t>active</t>
        </is>
      </c>
      <c r="E83" s="23" t="n">
        <v>46223</v>
      </c>
      <c r="F83" s="23" t="n">
        <v>46223</v>
      </c>
      <c r="G83" s="8" t="n">
        <v>1</v>
      </c>
      <c r="H83" s="8" t="n">
        <v>1</v>
      </c>
      <c r="I83" s="31" t="inlineStr">
        <is>
          <t xml:space="preserve">Efflorescence Aesthetic and Cellulite Reduction Spa X Zoca | Check In </t>
        </is>
      </c>
      <c r="J83" s="8" t="b">
        <v>1</v>
      </c>
      <c r="K83" s="23" t="n">
        <v>46097</v>
      </c>
      <c r="L83" s="8" t="b">
        <v>1</v>
      </c>
      <c r="M83" s="8" t="b">
        <v>1</v>
      </c>
      <c r="N83" s="8" t="b">
        <v>0</v>
      </c>
      <c r="O83" s="8" t="b">
        <v>0</v>
      </c>
      <c r="P83" s="8" t="n">
        <v>0</v>
      </c>
      <c r="Q83" s="8" t="n">
        <v>0</v>
      </c>
      <c r="R83" s="23" t="n"/>
      <c r="S83" s="8" t="b">
        <v>0</v>
      </c>
      <c r="T83" s="8" t="b">
        <v>0</v>
      </c>
      <c r="U83" s="8" t="b">
        <v>0</v>
      </c>
      <c r="V83" s="8" t="b">
        <v>0</v>
      </c>
      <c r="W83" s="8" t="b">
        <v>1</v>
      </c>
      <c r="X83" s="8" t="b">
        <v>0</v>
      </c>
      <c r="Y83" s="8" t="b">
        <v>0</v>
      </c>
      <c r="Z83" s="8" t="b">
        <v>0</v>
      </c>
      <c r="AA83" s="23" t="n">
        <v>46223</v>
      </c>
      <c r="AB83" s="8" t="n">
        <v>41</v>
      </c>
      <c r="AC83" s="23" t="n">
        <v>46223</v>
      </c>
      <c r="AD83" s="8" t="inlineStr">
        <is>
          <t>https://app.fireflies.ai/view/01KXVJD9T9YV9F2QDF0BPEQE7G</t>
        </is>
      </c>
      <c r="AE83" s="8" t="inlineStr">
        <is>
          <t>https://app.fireflies.ai/view/01KXVJD9T9YV9F2QDF0BPEQE7G</t>
        </is>
      </c>
    </row>
    <row r="84">
      <c r="A84" s="11" t="inlineStr">
        <is>
          <t>The Braiding Place Elgin</t>
        </is>
      </c>
      <c r="B84" s="11" t="inlineStr">
        <is>
          <t>Kelojou@gmail.com</t>
        </is>
      </c>
      <c r="C84" s="12" t="n">
        <v>199</v>
      </c>
      <c r="D84" s="11" t="inlineStr">
        <is>
          <t>active</t>
        </is>
      </c>
      <c r="E84" s="24" t="n">
        <v>46223</v>
      </c>
      <c r="F84" s="24" t="n">
        <v>46224</v>
      </c>
      <c r="G84" s="11" t="n">
        <v>2</v>
      </c>
      <c r="H84" s="11" t="n">
        <v>1</v>
      </c>
      <c r="I84" s="32" t="inlineStr">
        <is>
          <t>The Braiding Place Elgin X Zoca | Check In July</t>
        </is>
      </c>
      <c r="J84" s="11" t="b">
        <v>0</v>
      </c>
      <c r="K84" s="24" t="n">
        <v>46224</v>
      </c>
      <c r="L84" s="11" t="b">
        <v>1</v>
      </c>
      <c r="M84" s="11" t="b">
        <v>0</v>
      </c>
      <c r="N84" s="11" t="b">
        <v>0</v>
      </c>
      <c r="O84" s="11" t="b">
        <v>0</v>
      </c>
      <c r="P84" s="11" t="n">
        <v>0</v>
      </c>
      <c r="Q84" s="11" t="n">
        <v>0</v>
      </c>
      <c r="R84" s="24" t="n"/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1</v>
      </c>
      <c r="AA84" s="24" t="n">
        <v>46223</v>
      </c>
      <c r="AB84" s="11" t="n">
        <v>24</v>
      </c>
      <c r="AC84" s="24" t="n">
        <v>46223</v>
      </c>
      <c r="AD84" s="11" t="inlineStr">
        <is>
          <t>https://app.fireflies.ai/view/01KXVMDBQRSR399KE16S0593YF</t>
        </is>
      </c>
      <c r="AE84" s="11" t="inlineStr">
        <is>
          <t>https://app.fireflies.ai/view/01KXVMDBQRSR399KE16S0593YF</t>
        </is>
      </c>
    </row>
    <row r="85">
      <c r="A85" s="8" t="inlineStr">
        <is>
          <t>Ohana Sun Tanning</t>
        </is>
      </c>
      <c r="B85" s="8" t="inlineStr">
        <is>
          <t>tan@ohanasuntanning.com</t>
        </is>
      </c>
      <c r="C85" s="9" t="n">
        <v>305</v>
      </c>
      <c r="D85" s="8" t="inlineStr">
        <is>
          <t>active</t>
        </is>
      </c>
      <c r="E85" s="23" t="n">
        <v>46223</v>
      </c>
      <c r="F85" s="23" t="n">
        <v>46223</v>
      </c>
      <c r="G85" s="8" t="n">
        <v>1</v>
      </c>
      <c r="H85" s="8" t="n">
        <v>1</v>
      </c>
      <c r="I85" s="31" t="inlineStr">
        <is>
          <t>Ohana Sun Tanning X Zoca | Check In July</t>
        </is>
      </c>
      <c r="J85" s="8" t="b">
        <v>0</v>
      </c>
      <c r="K85" s="23" t="n"/>
      <c r="L85" s="8" t="b">
        <v>0</v>
      </c>
      <c r="M85" s="8" t="b">
        <v>0</v>
      </c>
      <c r="N85" s="8" t="b">
        <v>0</v>
      </c>
      <c r="O85" s="8" t="b">
        <v>0</v>
      </c>
      <c r="P85" s="8" t="n">
        <v>0</v>
      </c>
      <c r="Q85" s="8" t="n">
        <v>0</v>
      </c>
      <c r="R85" s="23" t="n"/>
      <c r="S85" s="8" t="b">
        <v>0</v>
      </c>
      <c r="T85" s="8" t="b">
        <v>0</v>
      </c>
      <c r="U85" s="8" t="b">
        <v>0</v>
      </c>
      <c r="V85" s="8" t="b">
        <v>0</v>
      </c>
      <c r="W85" s="8" t="b">
        <v>0</v>
      </c>
      <c r="X85" s="8" t="b">
        <v>0</v>
      </c>
      <c r="Y85" s="8" t="b">
        <v>0</v>
      </c>
      <c r="Z85" s="8" t="b">
        <v>1</v>
      </c>
      <c r="AA85" s="23" t="n">
        <v>46223</v>
      </c>
      <c r="AB85" s="8" t="n">
        <v>48</v>
      </c>
      <c r="AC85" s="23" t="n">
        <v>46223</v>
      </c>
      <c r="AD85" s="8" t="inlineStr">
        <is>
          <t>https://app.fireflies.ai/view/01KXZM3TGYW0TR1ZP5MPT9PER6</t>
        </is>
      </c>
      <c r="AE85" s="8" t="inlineStr">
        <is>
          <t>https://app.fireflies.ai/view/01KXZM3TGYW0TR1ZP5MPT9PER6</t>
        </is>
      </c>
    </row>
    <row r="86">
      <c r="A86" s="11" t="inlineStr">
        <is>
          <t>DOLLFACE</t>
        </is>
      </c>
      <c r="B86" s="11" t="inlineStr">
        <is>
          <t>dimopoulos029@gmail.com</t>
        </is>
      </c>
      <c r="C86" s="12" t="n">
        <v>249</v>
      </c>
      <c r="D86" s="11" t="inlineStr">
        <is>
          <t>active</t>
        </is>
      </c>
      <c r="E86" s="24" t="n">
        <v>46223</v>
      </c>
      <c r="F86" s="24" t="n">
        <v>46223</v>
      </c>
      <c r="G86" s="11" t="n">
        <v>1</v>
      </c>
      <c r="H86" s="11" t="n">
        <v>1</v>
      </c>
      <c r="I86" s="32" t="inlineStr">
        <is>
          <t>DOLLFACE X Zoca | Check In July</t>
        </is>
      </c>
      <c r="J86" s="11" t="b">
        <v>0</v>
      </c>
      <c r="K86" s="24" t="n"/>
      <c r="L86" s="11" t="b">
        <v>0</v>
      </c>
      <c r="M86" s="11" t="b">
        <v>0</v>
      </c>
      <c r="N86" s="11" t="b">
        <v>0</v>
      </c>
      <c r="O86" s="11" t="b">
        <v>0</v>
      </c>
      <c r="P86" s="11" t="n">
        <v>0</v>
      </c>
      <c r="Q86" s="11" t="n">
        <v>0</v>
      </c>
      <c r="R86" s="24" t="n"/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1</v>
      </c>
      <c r="Z86" s="11" t="b">
        <v>0</v>
      </c>
      <c r="AA86" s="24" t="n">
        <v>46223</v>
      </c>
      <c r="AB86" s="11" t="n">
        <v>92</v>
      </c>
      <c r="AC86" s="24" t="n">
        <v>46223</v>
      </c>
      <c r="AD86" s="11" t="inlineStr">
        <is>
          <t>https://app.fireflies.ai/view/01KXVMDBS01BQ70YFYHYYS4F5V</t>
        </is>
      </c>
      <c r="AE86" s="11" t="inlineStr">
        <is>
          <t>https://app.fireflies.ai/view/01KXVMDBS01BQ70YFYHYYS4F5V</t>
        </is>
      </c>
    </row>
    <row r="87">
      <c r="A87" s="8" t="inlineStr">
        <is>
          <t>Hairbygino</t>
        </is>
      </c>
      <c r="B87" s="8" t="inlineStr">
        <is>
          <t>ginomagnarelli@gmail.com</t>
        </is>
      </c>
      <c r="C87" s="9" t="n">
        <v>149</v>
      </c>
      <c r="D87" s="8" t="inlineStr">
        <is>
          <t>active</t>
        </is>
      </c>
      <c r="E87" s="23" t="n">
        <v>46225</v>
      </c>
      <c r="F87" s="23" t="n">
        <v>46225</v>
      </c>
      <c r="G87" s="8" t="n">
        <v>2</v>
      </c>
      <c r="H87" s="8" t="n">
        <v>2</v>
      </c>
      <c r="I87" s="31" t="inlineStr">
        <is>
          <t>Hairbygino X Zoca | Check In July</t>
        </is>
      </c>
      <c r="J87" s="8" t="b">
        <v>0</v>
      </c>
      <c r="K87" s="23" t="n">
        <v>46225</v>
      </c>
      <c r="L87" s="8" t="b">
        <v>1</v>
      </c>
      <c r="M87" s="8" t="b">
        <v>1</v>
      </c>
      <c r="N87" s="8" t="b">
        <v>1</v>
      </c>
      <c r="O87" s="8" t="b">
        <v>0</v>
      </c>
      <c r="P87" s="8" t="n">
        <v>0</v>
      </c>
      <c r="Q87" s="8" t="n">
        <v>0</v>
      </c>
      <c r="R87" s="23" t="n"/>
      <c r="S87" s="8" t="b">
        <v>0</v>
      </c>
      <c r="T87" s="8" t="b">
        <v>0</v>
      </c>
      <c r="U87" s="8" t="b">
        <v>0</v>
      </c>
      <c r="V87" s="8" t="b">
        <v>0</v>
      </c>
      <c r="W87" s="8" t="b">
        <v>0</v>
      </c>
      <c r="X87" s="8" t="b">
        <v>0</v>
      </c>
      <c r="Y87" s="8" t="b">
        <v>0</v>
      </c>
      <c r="Z87" s="8" t="b">
        <v>1</v>
      </c>
      <c r="AA87" s="23" t="n">
        <v>46225</v>
      </c>
      <c r="AB87" s="8" t="n">
        <v>44</v>
      </c>
      <c r="AC87" s="23" t="n">
        <v>46225</v>
      </c>
      <c r="AD87" s="8" t="inlineStr">
        <is>
          <t>https://app.fireflies.ai/view/01KY524PF40BRCE5MXDRG4FYMQ</t>
        </is>
      </c>
      <c r="AE87" s="8" t="inlineStr">
        <is>
          <t>https://app.fireflies.ai/view/01KY5B5K4SDAVYK9X80787ME3A</t>
        </is>
      </c>
    </row>
    <row r="88">
      <c r="A88" s="11" t="inlineStr">
        <is>
          <t>Elite Spa Wellness Center</t>
        </is>
      </c>
      <c r="B88" s="11" t="inlineStr">
        <is>
          <t>info@elitespawellness.com</t>
        </is>
      </c>
      <c r="C88" s="12" t="n">
        <v>250</v>
      </c>
      <c r="D88" s="11" t="inlineStr">
        <is>
          <t>active</t>
        </is>
      </c>
      <c r="E88" s="24" t="n">
        <v>46226</v>
      </c>
      <c r="F88" s="24" t="n">
        <v>46233</v>
      </c>
      <c r="G88" s="11" t="n">
        <v>2</v>
      </c>
      <c r="H88" s="11" t="n">
        <v>2</v>
      </c>
      <c r="I88" s="32" t="inlineStr">
        <is>
          <t>Elite Spa Wellness Center X Zoca | Check In July</t>
        </is>
      </c>
      <c r="J88" s="11" t="b">
        <v>0</v>
      </c>
      <c r="K88" s="24" t="n"/>
      <c r="L88" s="11" t="b">
        <v>0</v>
      </c>
      <c r="M88" s="11" t="b">
        <v>0</v>
      </c>
      <c r="N88" s="11" t="b">
        <v>0</v>
      </c>
      <c r="O88" s="11" t="b">
        <v>0</v>
      </c>
      <c r="P88" s="11" t="n">
        <v>0</v>
      </c>
      <c r="Q88" s="11" t="n">
        <v>0</v>
      </c>
      <c r="R88" s="24" t="n"/>
      <c r="S88" s="11" t="b">
        <v>1</v>
      </c>
      <c r="T88" s="11" t="b">
        <v>1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1</v>
      </c>
      <c r="AA88" s="24" t="n">
        <v>46226</v>
      </c>
      <c r="AB88" s="11" t="n">
        <v>21</v>
      </c>
      <c r="AC88" s="24" t="n">
        <v>46233</v>
      </c>
      <c r="AD88" s="11" t="inlineStr">
        <is>
          <t>https://app.fireflies.ai/view/01KY5SNDQ6XKCR7WC1YM620DAC</t>
        </is>
      </c>
      <c r="AE88" s="11" t="inlineStr">
        <is>
          <t>https://app.fireflies.ai/view/01KYQTGFZ81HZETWHZ5VS9Q7EG</t>
        </is>
      </c>
    </row>
    <row r="89">
      <c r="A89" s="8" t="inlineStr">
        <is>
          <t>Connected Health Plano</t>
        </is>
      </c>
      <c r="B89" s="8" t="inlineStr">
        <is>
          <t>plano@connectedhealthcenter.com</t>
        </is>
      </c>
      <c r="C89" s="9" t="n">
        <v>150</v>
      </c>
      <c r="D89" s="8" t="inlineStr">
        <is>
          <t>active</t>
        </is>
      </c>
      <c r="E89" s="23" t="n">
        <v>46226</v>
      </c>
      <c r="F89" s="23" t="n">
        <v>46226</v>
      </c>
      <c r="G89" s="8" t="n">
        <v>1</v>
      </c>
      <c r="H89" s="8" t="n">
        <v>1</v>
      </c>
      <c r="I89" s="31" t="inlineStr">
        <is>
          <t>Connected Health Plano X Zoca | Implementation call</t>
        </is>
      </c>
      <c r="J89" s="8" t="b">
        <v>0</v>
      </c>
      <c r="K89" s="23" t="n">
        <v>46226</v>
      </c>
      <c r="L89" s="8" t="b">
        <v>1</v>
      </c>
      <c r="M89" s="8" t="b">
        <v>0</v>
      </c>
      <c r="N89" s="8" t="b">
        <v>0</v>
      </c>
      <c r="O89" s="8" t="b">
        <v>0</v>
      </c>
      <c r="P89" s="8" t="n">
        <v>2</v>
      </c>
      <c r="Q89" s="8" t="n">
        <v>2</v>
      </c>
      <c r="R89" s="23" t="n">
        <v>46234</v>
      </c>
      <c r="S89" s="8" t="b">
        <v>0</v>
      </c>
      <c r="T89" s="8" t="b">
        <v>0</v>
      </c>
      <c r="U89" s="8" t="b">
        <v>0</v>
      </c>
      <c r="V89" s="8" t="b">
        <v>0</v>
      </c>
      <c r="W89" s="8" t="b">
        <v>0</v>
      </c>
      <c r="X89" s="8" t="b">
        <v>0</v>
      </c>
      <c r="Y89" s="8" t="b">
        <v>0</v>
      </c>
      <c r="Z89" s="8" t="b">
        <v>1</v>
      </c>
      <c r="AA89" s="23" t="n">
        <v>46226</v>
      </c>
      <c r="AB89" s="8" t="n">
        <v>51</v>
      </c>
      <c r="AC89" s="23" t="n">
        <v>46226</v>
      </c>
      <c r="AD89" s="8" t="inlineStr">
        <is>
          <t>https://app.fireflies.ai/view/01KY609WZH5YN9ES8T5A2DM16A</t>
        </is>
      </c>
      <c r="AE89" s="8" t="inlineStr">
        <is>
          <t>https://app.fireflies.ai/view/01KY609WZH5YN9ES8T5A2DM16A</t>
        </is>
      </c>
    </row>
    <row r="90">
      <c r="A90" s="11" t="inlineStr">
        <is>
          <t>Salon Greco The European Day Spa</t>
        </is>
      </c>
      <c r="B90" s="11" t="inlineStr">
        <is>
          <t>salongreco@aol.com</t>
        </is>
      </c>
      <c r="C90" s="12" t="n">
        <v>249</v>
      </c>
      <c r="D90" s="11" t="inlineStr">
        <is>
          <t>active</t>
        </is>
      </c>
      <c r="E90" s="24" t="n">
        <v>46226</v>
      </c>
      <c r="F90" s="24" t="n">
        <v>46226</v>
      </c>
      <c r="G90" s="11" t="n">
        <v>1</v>
      </c>
      <c r="H90" s="11" t="n">
        <v>1</v>
      </c>
      <c r="I90" s="32" t="inlineStr">
        <is>
          <t>Salon Greco The European Day Spa X Zoca | Check In July</t>
        </is>
      </c>
      <c r="J90" s="11" t="b">
        <v>0</v>
      </c>
      <c r="K90" s="24" t="n">
        <v>46226</v>
      </c>
      <c r="L90" s="11" t="b">
        <v>1</v>
      </c>
      <c r="M90" s="11" t="b">
        <v>0</v>
      </c>
      <c r="N90" s="11" t="b">
        <v>0</v>
      </c>
      <c r="O90" s="11" t="b">
        <v>0</v>
      </c>
      <c r="P90" s="11" t="n">
        <v>0</v>
      </c>
      <c r="Q90" s="11" t="n">
        <v>0</v>
      </c>
      <c r="R90" s="24" t="n"/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1</v>
      </c>
      <c r="AA90" s="24" t="n">
        <v>46226</v>
      </c>
      <c r="AB90" s="11" t="n"/>
      <c r="AC90" s="24" t="n">
        <v>46226</v>
      </c>
      <c r="AD90" s="11" t="inlineStr">
        <is>
          <t>https://app.fireflies.ai/view/01KY37FFZHAB372Q59SQHCTB80</t>
        </is>
      </c>
      <c r="AE90" s="11" t="inlineStr">
        <is>
          <t>https://app.fireflies.ai/view/01KY37FFZHAB372Q59SQHCTB80</t>
        </is>
      </c>
    </row>
    <row r="91">
      <c r="A91" s="8" t="inlineStr">
        <is>
          <t>Healing Hands By Andrea</t>
        </is>
      </c>
      <c r="B91" s="8" t="inlineStr">
        <is>
          <t>andreacoy99@gmail.com</t>
        </is>
      </c>
      <c r="C91" s="9" t="n">
        <v>149</v>
      </c>
      <c r="D91" s="8" t="inlineStr">
        <is>
          <t>active</t>
        </is>
      </c>
      <c r="E91" s="23" t="n">
        <v>46227</v>
      </c>
      <c r="F91" s="23" t="n">
        <v>46227</v>
      </c>
      <c r="G91" s="8" t="n">
        <v>1</v>
      </c>
      <c r="H91" s="8" t="n">
        <v>1</v>
      </c>
      <c r="I91" s="31" t="inlineStr">
        <is>
          <t>Healing Hands By Andrea X Zoca | Check In July</t>
        </is>
      </c>
      <c r="J91" s="8" t="b">
        <v>0</v>
      </c>
      <c r="K91" s="23" t="n"/>
      <c r="L91" s="8" t="b">
        <v>0</v>
      </c>
      <c r="M91" s="8" t="b">
        <v>0</v>
      </c>
      <c r="N91" s="8" t="b">
        <v>0</v>
      </c>
      <c r="O91" s="8" t="b">
        <v>0</v>
      </c>
      <c r="P91" s="8" t="n">
        <v>0</v>
      </c>
      <c r="Q91" s="8" t="n">
        <v>0</v>
      </c>
      <c r="R91" s="23" t="n"/>
      <c r="S91" s="8" t="b">
        <v>0</v>
      </c>
      <c r="T91" s="8" t="b">
        <v>0</v>
      </c>
      <c r="U91" s="8" t="b">
        <v>0</v>
      </c>
      <c r="V91" s="8" t="b">
        <v>0</v>
      </c>
      <c r="W91" s="8" t="b">
        <v>0</v>
      </c>
      <c r="X91" s="8" t="b">
        <v>0</v>
      </c>
      <c r="Y91" s="8" t="b">
        <v>0</v>
      </c>
      <c r="Z91" s="8" t="b">
        <v>0</v>
      </c>
      <c r="AA91" s="23" t="n">
        <v>46227</v>
      </c>
      <c r="AB91" s="8" t="n">
        <v>27</v>
      </c>
      <c r="AC91" s="23" t="n">
        <v>46227</v>
      </c>
      <c r="AD91" s="8" t="inlineStr">
        <is>
          <t>https://app.fireflies.ai/view/01KY8A9JQ93R3BAVMGQJPK2T68</t>
        </is>
      </c>
      <c r="AE91" s="8" t="inlineStr">
        <is>
          <t>https://app.fireflies.ai/view/01KY8A9JQ93R3BAVMGQJPK2T68</t>
        </is>
      </c>
    </row>
    <row r="92">
      <c r="A92" s="11" t="inlineStr">
        <is>
          <t>Worldwide Stretch Therapy</t>
        </is>
      </c>
      <c r="B92" s="11" t="inlineStr">
        <is>
          <t>philoy.williams@gmail.com</t>
        </is>
      </c>
      <c r="C92" s="12" t="n">
        <v>149</v>
      </c>
      <c r="D92" s="11" t="inlineStr">
        <is>
          <t>active</t>
        </is>
      </c>
      <c r="E92" s="24" t="n">
        <v>46227</v>
      </c>
      <c r="F92" s="24" t="n">
        <v>46227</v>
      </c>
      <c r="G92" s="11" t="n">
        <v>1</v>
      </c>
      <c r="H92" s="11" t="n">
        <v>1</v>
      </c>
      <c r="I92" s="32" t="inlineStr">
        <is>
          <t>Worldwide Stretch Therapy X Zoca | Check In July</t>
        </is>
      </c>
      <c r="J92" s="11" t="b">
        <v>0</v>
      </c>
      <c r="K92" s="24" t="n">
        <v>46227</v>
      </c>
      <c r="L92" s="11" t="b">
        <v>1</v>
      </c>
      <c r="M92" s="11" t="b">
        <v>1</v>
      </c>
      <c r="N92" s="11" t="b">
        <v>1</v>
      </c>
      <c r="O92" s="11" t="b">
        <v>1</v>
      </c>
      <c r="P92" s="11" t="n">
        <v>1</v>
      </c>
      <c r="Q92" s="11" t="n">
        <v>1</v>
      </c>
      <c r="R92" s="24" t="n">
        <v>46236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1</v>
      </c>
      <c r="AA92" s="24" t="n">
        <v>46227</v>
      </c>
      <c r="AB92" s="11" t="n">
        <v>265</v>
      </c>
      <c r="AC92" s="24" t="n">
        <v>46227</v>
      </c>
      <c r="AD92" s="11" t="inlineStr">
        <is>
          <t>https://app.fireflies.ai/view/01KYAG0AA12NBM57SVBF8XEN18</t>
        </is>
      </c>
      <c r="AE92" s="11" t="inlineStr">
        <is>
          <t>https://app.fireflies.ai/view/01KYAG0AA12NBM57SVBF8XEN18</t>
        </is>
      </c>
    </row>
    <row r="93">
      <c r="A93" s="8" t="inlineStr">
        <is>
          <t>JL Studio</t>
        </is>
      </c>
      <c r="B93" s="8" t="inlineStr">
        <is>
          <t>jackie.leveille@gmail.com</t>
        </is>
      </c>
      <c r="C93" s="9" t="n">
        <v>150</v>
      </c>
      <c r="D93" s="8" t="inlineStr">
        <is>
          <t>active</t>
        </is>
      </c>
      <c r="E93" s="23" t="n">
        <v>46230</v>
      </c>
      <c r="F93" s="23" t="n">
        <v>46234</v>
      </c>
      <c r="G93" s="8" t="n">
        <v>2</v>
      </c>
      <c r="H93" s="8" t="n">
        <v>2</v>
      </c>
      <c r="I93" s="31" t="inlineStr">
        <is>
          <t>JL Studio X Zoca | Check In July</t>
        </is>
      </c>
      <c r="J93" s="8" t="b">
        <v>1</v>
      </c>
      <c r="K93" s="23" t="n">
        <v>46156</v>
      </c>
      <c r="L93" s="8" t="b">
        <v>1</v>
      </c>
      <c r="M93" s="8" t="b">
        <v>0</v>
      </c>
      <c r="N93" s="8" t="b">
        <v>0</v>
      </c>
      <c r="O93" s="8" t="b">
        <v>0</v>
      </c>
      <c r="P93" s="8" t="n">
        <v>0</v>
      </c>
      <c r="Q93" s="8" t="n">
        <v>0</v>
      </c>
      <c r="R93" s="23" t="n"/>
      <c r="S93" s="8" t="b">
        <v>0</v>
      </c>
      <c r="T93" s="8" t="b">
        <v>0</v>
      </c>
      <c r="U93" s="8" t="b">
        <v>0</v>
      </c>
      <c r="V93" s="8" t="b">
        <v>0</v>
      </c>
      <c r="W93" s="8" t="b">
        <v>0</v>
      </c>
      <c r="X93" s="8" t="b">
        <v>0</v>
      </c>
      <c r="Y93" s="8" t="b">
        <v>0</v>
      </c>
      <c r="Z93" s="8" t="b">
        <v>0</v>
      </c>
      <c r="AA93" s="23" t="n">
        <v>46230</v>
      </c>
      <c r="AB93" s="8" t="n">
        <v>64</v>
      </c>
      <c r="AC93" s="23" t="n">
        <v>46234</v>
      </c>
      <c r="AD93" s="8" t="inlineStr">
        <is>
          <t>https://app.fireflies.ai/view/01KYAP8ZXDMFASM46783R08KX5</t>
        </is>
      </c>
      <c r="AE93" s="8" t="inlineStr">
        <is>
          <t>https://app.fireflies.ai/view/01KYT4KYXZ2BQGP49B74QNWWAC</t>
        </is>
      </c>
    </row>
    <row r="94">
      <c r="A94" s="11" t="inlineStr">
        <is>
          <t>Zoca</t>
        </is>
      </c>
      <c r="B94" s="11" t="inlineStr">
        <is>
          <t>estevan333@gmail.com</t>
        </is>
      </c>
      <c r="C94" s="12" t="n">
        <v>100</v>
      </c>
      <c r="D94" s="11" t="inlineStr">
        <is>
          <t>non_renewing</t>
        </is>
      </c>
      <c r="E94" s="24" t="n">
        <v>46230</v>
      </c>
      <c r="F94" s="24" t="n">
        <v>46230</v>
      </c>
      <c r="G94" s="11" t="n">
        <v>1</v>
      </c>
      <c r="H94" s="11" t="n">
        <v>1</v>
      </c>
      <c r="I94" s="32" t="inlineStr">
        <is>
          <t>Zoca &lt;&gt; Salon Estevan</t>
        </is>
      </c>
      <c r="J94" s="11" t="b">
        <v>0</v>
      </c>
      <c r="K94" s="24" t="n"/>
      <c r="L94" s="11" t="b">
        <v>0</v>
      </c>
      <c r="M94" s="11" t="b">
        <v>0</v>
      </c>
      <c r="N94" s="11" t="b">
        <v>0</v>
      </c>
      <c r="O94" s="11" t="b">
        <v>0</v>
      </c>
      <c r="P94" s="11" t="n">
        <v>0</v>
      </c>
      <c r="Q94" s="11" t="n">
        <v>0</v>
      </c>
      <c r="R94" s="24" t="n"/>
      <c r="S94" s="11" t="b">
        <v>1</v>
      </c>
      <c r="T94" s="11" t="b">
        <v>0</v>
      </c>
      <c r="U94" s="11" t="b">
        <v>0</v>
      </c>
      <c r="V94" s="11" t="b">
        <v>1</v>
      </c>
      <c r="W94" s="11" t="b">
        <v>1</v>
      </c>
      <c r="X94" s="11" t="b">
        <v>0</v>
      </c>
      <c r="Y94" s="11" t="b">
        <v>0</v>
      </c>
      <c r="Z94" s="11" t="b">
        <v>0</v>
      </c>
      <c r="AA94" s="24" t="n">
        <v>46230</v>
      </c>
      <c r="AB94" s="11" t="n">
        <v>93</v>
      </c>
      <c r="AC94" s="24" t="n">
        <v>46230</v>
      </c>
      <c r="AD94" s="11" t="inlineStr">
        <is>
          <t>https://app.fireflies.ai/view/01KY82B5DVRBEV0H6XTDX4GNPB</t>
        </is>
      </c>
      <c r="AE94" s="11" t="inlineStr">
        <is>
          <t>https://app.fireflies.ai/view/01KY82B5DVRBEV0H6XTDX4GNPB</t>
        </is>
      </c>
    </row>
    <row r="95">
      <c r="A95" s="8" t="inlineStr">
        <is>
          <t>DanielZoca</t>
        </is>
      </c>
      <c r="B95" s="8" t="inlineStr">
        <is>
          <t>feinman77@yahoo.com</t>
        </is>
      </c>
      <c r="C95" s="9" t="n">
        <v>99</v>
      </c>
      <c r="D95" s="8" t="inlineStr">
        <is>
          <t>active</t>
        </is>
      </c>
      <c r="E95" s="23" t="n">
        <v>46230</v>
      </c>
      <c r="F95" s="23" t="n">
        <v>46230</v>
      </c>
      <c r="G95" s="8" t="n">
        <v>1</v>
      </c>
      <c r="H95" s="8" t="n">
        <v>1</v>
      </c>
      <c r="I95" s="31" t="inlineStr">
        <is>
          <t>DanielZoca</t>
        </is>
      </c>
      <c r="J95" s="8" t="b">
        <v>0</v>
      </c>
      <c r="K95" s="23" t="n"/>
      <c r="L95" s="8" t="b">
        <v>0</v>
      </c>
      <c r="M95" s="8" t="b">
        <v>0</v>
      </c>
      <c r="N95" s="8" t="b">
        <v>0</v>
      </c>
      <c r="O95" s="8" t="b">
        <v>0</v>
      </c>
      <c r="P95" s="8" t="n">
        <v>0</v>
      </c>
      <c r="Q95" s="8" t="n">
        <v>0</v>
      </c>
      <c r="R95" s="23" t="n"/>
      <c r="S95" s="8" t="b">
        <v>0</v>
      </c>
      <c r="T95" s="8" t="b">
        <v>0</v>
      </c>
      <c r="U95" s="8" t="b">
        <v>0</v>
      </c>
      <c r="V95" s="8" t="b">
        <v>0</v>
      </c>
      <c r="W95" s="8" t="b">
        <v>0</v>
      </c>
      <c r="X95" s="8" t="b">
        <v>0</v>
      </c>
      <c r="Y95" s="8" t="b">
        <v>0</v>
      </c>
      <c r="Z95" s="8" t="b">
        <v>1</v>
      </c>
      <c r="AA95" s="23" t="n">
        <v>46230</v>
      </c>
      <c r="AB95" s="8" t="n">
        <v>72</v>
      </c>
      <c r="AC95" s="23" t="n">
        <v>46230</v>
      </c>
      <c r="AD95" s="8" t="inlineStr">
        <is>
          <t>https://app.fireflies.ai/view/01KYAP8ZXGZ4B8BEJ6A9GT08PM</t>
        </is>
      </c>
      <c r="AE95" s="8" t="inlineStr">
        <is>
          <t>https://app.fireflies.ai/view/01KYAP8ZXGZ4B8BEJ6A9GT08PM</t>
        </is>
      </c>
    </row>
    <row r="96">
      <c r="A96" s="11" t="inlineStr">
        <is>
          <t>AKKI Aesthetics</t>
        </is>
      </c>
      <c r="B96" s="11" t="inlineStr">
        <is>
          <t>akkimedspa@gmail.com</t>
        </is>
      </c>
      <c r="C96" s="12" t="n">
        <v>200</v>
      </c>
      <c r="D96" s="11" t="inlineStr">
        <is>
          <t>active</t>
        </is>
      </c>
      <c r="E96" s="24" t="n">
        <v>46230</v>
      </c>
      <c r="F96" s="24" t="n">
        <v>46233</v>
      </c>
      <c r="G96" s="11" t="n">
        <v>2</v>
      </c>
      <c r="H96" s="11" t="n">
        <v>2</v>
      </c>
      <c r="I96" s="32" t="inlineStr">
        <is>
          <t>AKKI Aesthetics X Zoca | Check In July</t>
        </is>
      </c>
      <c r="J96" s="11" t="b">
        <v>0</v>
      </c>
      <c r="K96" s="24" t="n"/>
      <c r="L96" s="11" t="b">
        <v>0</v>
      </c>
      <c r="M96" s="11" t="b">
        <v>0</v>
      </c>
      <c r="N96" s="11" t="b">
        <v>0</v>
      </c>
      <c r="O96" s="11" t="b">
        <v>0</v>
      </c>
      <c r="P96" s="11" t="n">
        <v>0</v>
      </c>
      <c r="Q96" s="11" t="n">
        <v>0</v>
      </c>
      <c r="R96" s="24" t="n"/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1</v>
      </c>
      <c r="X96" s="11" t="b">
        <v>0</v>
      </c>
      <c r="Y96" s="11" t="b">
        <v>0</v>
      </c>
      <c r="Z96" s="11" t="b">
        <v>1</v>
      </c>
      <c r="AA96" s="24" t="n">
        <v>46230</v>
      </c>
      <c r="AB96" s="11" t="n">
        <v>64</v>
      </c>
      <c r="AC96" s="24" t="n">
        <v>46233</v>
      </c>
      <c r="AD96" s="11" t="inlineStr">
        <is>
          <t>https://app.fireflies.ai/view/01KYA73PFQN6MWTK8AGXV97KG1</t>
        </is>
      </c>
      <c r="AE96" s="11" t="inlineStr">
        <is>
          <t>https://app.fireflies.ai/view/01KYJJJ2CS14TF1KK0HD5062VV</t>
        </is>
      </c>
    </row>
    <row r="97">
      <c r="A97" s="8" t="inlineStr">
        <is>
          <t>Natures Wax &amp; Med Spa</t>
        </is>
      </c>
      <c r="B97" s="8" t="inlineStr">
        <is>
          <t>nwaxservice@gmail.com</t>
        </is>
      </c>
      <c r="C97" s="9" t="n">
        <v>300</v>
      </c>
      <c r="D97" s="8" t="inlineStr">
        <is>
          <t>active</t>
        </is>
      </c>
      <c r="E97" s="23" t="n">
        <v>46230</v>
      </c>
      <c r="F97" s="23" t="n">
        <v>46230</v>
      </c>
      <c r="G97" s="8" t="n">
        <v>1</v>
      </c>
      <c r="H97" s="8" t="n">
        <v>1</v>
      </c>
      <c r="I97" s="31" t="inlineStr">
        <is>
          <t>Natures Wax &amp; Med Spa X Zoca | Check In July</t>
        </is>
      </c>
      <c r="J97" s="8" t="b">
        <v>0</v>
      </c>
      <c r="K97" s="23" t="n"/>
      <c r="L97" s="8" t="b">
        <v>0</v>
      </c>
      <c r="M97" s="8" t="b">
        <v>0</v>
      </c>
      <c r="N97" s="8" t="b">
        <v>0</v>
      </c>
      <c r="O97" s="8" t="b">
        <v>0</v>
      </c>
      <c r="P97" s="8" t="n">
        <v>0</v>
      </c>
      <c r="Q97" s="8" t="n">
        <v>0</v>
      </c>
      <c r="R97" s="23" t="n"/>
      <c r="S97" s="8" t="b">
        <v>0</v>
      </c>
      <c r="T97" s="8" t="b">
        <v>0</v>
      </c>
      <c r="U97" s="8" t="b">
        <v>0</v>
      </c>
      <c r="V97" s="8" t="b">
        <v>0</v>
      </c>
      <c r="W97" s="8" t="b">
        <v>0</v>
      </c>
      <c r="X97" s="8" t="b">
        <v>0</v>
      </c>
      <c r="Y97" s="8" t="b">
        <v>0</v>
      </c>
      <c r="Z97" s="8" t="b">
        <v>1</v>
      </c>
      <c r="AA97" s="23" t="n">
        <v>46230</v>
      </c>
      <c r="AB97" s="8" t="n">
        <v>70</v>
      </c>
      <c r="AC97" s="23" t="n">
        <v>46231</v>
      </c>
      <c r="AD97" s="8" t="inlineStr">
        <is>
          <t>https://app.fireflies.ai/view/01KYJ1Y52ZQTNJT7SJQBVKRR3D</t>
        </is>
      </c>
      <c r="AE97" s="8" t="inlineStr">
        <is>
          <t>https://app.fireflies.ai/view/01KYJPK7G2FXDPQ5FD79B28WAA</t>
        </is>
      </c>
    </row>
    <row r="98">
      <c r="A98" s="11" t="inlineStr">
        <is>
          <t>Serge-VIP Aesthetic Center Med Spa</t>
        </is>
      </c>
      <c r="B98" s="11" t="inlineStr">
        <is>
          <t>sergejanov@gmail.com</t>
        </is>
      </c>
      <c r="C98" s="12" t="n">
        <v>150</v>
      </c>
      <c r="D98" s="11" t="inlineStr">
        <is>
          <t>active</t>
        </is>
      </c>
      <c r="E98" s="24" t="n">
        <v>46230</v>
      </c>
      <c r="F98" s="24" t="n">
        <v>46230</v>
      </c>
      <c r="G98" s="11" t="n">
        <v>1</v>
      </c>
      <c r="H98" s="11" t="n">
        <v>1</v>
      </c>
      <c r="I98" s="32" t="inlineStr">
        <is>
          <t>Zoca - Serge-VIP Aesthetic Center Med Spa</t>
        </is>
      </c>
      <c r="J98" s="11" t="b">
        <v>0</v>
      </c>
      <c r="K98" s="24" t="n"/>
      <c r="L98" s="11" t="b">
        <v>0</v>
      </c>
      <c r="M98" s="11" t="b">
        <v>0</v>
      </c>
      <c r="N98" s="11" t="b">
        <v>0</v>
      </c>
      <c r="O98" s="11" t="b">
        <v>0</v>
      </c>
      <c r="P98" s="11" t="n">
        <v>0</v>
      </c>
      <c r="Q98" s="11" t="n">
        <v>0</v>
      </c>
      <c r="R98" s="24" t="n"/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24" t="n">
        <v>46230</v>
      </c>
      <c r="AB98" s="11" t="n">
        <v>46</v>
      </c>
      <c r="AC98" s="24" t="n">
        <v>46230</v>
      </c>
      <c r="AD98" s="11" t="inlineStr">
        <is>
          <t>https://app.fireflies.ai/view/01KYFZ29BFNNGKDNWBJB49ZHA3</t>
        </is>
      </c>
      <c r="AE98" s="11" t="inlineStr">
        <is>
          <t>https://app.fireflies.ai/view/01KYFZ29BFNNGKDNWBJB49ZHA3</t>
        </is>
      </c>
    </row>
    <row r="99">
      <c r="A99" s="8" t="inlineStr">
        <is>
          <t>Zoca</t>
        </is>
      </c>
      <c r="B99" s="8" t="inlineStr">
        <is>
          <t>info@LincolnParkPilates.com</t>
        </is>
      </c>
      <c r="C99" s="9" t="n">
        <v>200</v>
      </c>
      <c r="D99" s="8" t="inlineStr">
        <is>
          <t>active</t>
        </is>
      </c>
      <c r="E99" s="23" t="n">
        <v>46231</v>
      </c>
      <c r="F99" s="23" t="n">
        <v>46231</v>
      </c>
      <c r="G99" s="8" t="n">
        <v>1</v>
      </c>
      <c r="H99" s="8" t="n">
        <v>1</v>
      </c>
      <c r="I99" s="31" t="inlineStr">
        <is>
          <t>Zoca &lt;&gt; Lincoln Park Pilates</t>
        </is>
      </c>
      <c r="J99" s="8" t="b">
        <v>0</v>
      </c>
      <c r="K99" s="23" t="n"/>
      <c r="L99" s="8" t="b">
        <v>0</v>
      </c>
      <c r="M99" s="8" t="b">
        <v>0</v>
      </c>
      <c r="N99" s="8" t="b">
        <v>0</v>
      </c>
      <c r="O99" s="8" t="b">
        <v>0</v>
      </c>
      <c r="P99" s="8" t="n">
        <v>0</v>
      </c>
      <c r="Q99" s="8" t="n">
        <v>0</v>
      </c>
      <c r="R99" s="23" t="n"/>
      <c r="S99" s="8" t="b">
        <v>0</v>
      </c>
      <c r="T99" s="8" t="b">
        <v>0</v>
      </c>
      <c r="U99" s="8" t="b">
        <v>0</v>
      </c>
      <c r="V99" s="8" t="b">
        <v>0</v>
      </c>
      <c r="W99" s="8" t="b">
        <v>0</v>
      </c>
      <c r="X99" s="8" t="b">
        <v>0</v>
      </c>
      <c r="Y99" s="8" t="b">
        <v>0</v>
      </c>
      <c r="Z99" s="8" t="b">
        <v>0</v>
      </c>
      <c r="AA99" s="23" t="n">
        <v>46231</v>
      </c>
      <c r="AB99" s="8" t="n">
        <v>116</v>
      </c>
      <c r="AC99" s="23" t="n">
        <v>46231</v>
      </c>
      <c r="AD99" s="8" t="inlineStr">
        <is>
          <t>https://app.fireflies.ai/view/01KY5VZ3CHSJ0223AAPJX283JW</t>
        </is>
      </c>
      <c r="AE99" s="8" t="inlineStr">
        <is>
          <t>https://app.fireflies.ai/view/01KY5VZ3CHSJ0223AAPJX283JW</t>
        </is>
      </c>
    </row>
    <row r="100">
      <c r="A100" s="11" t="inlineStr">
        <is>
          <t>Rosy Tips Nail Salon Chula Vista CA</t>
        </is>
      </c>
      <c r="B100" s="11" t="inlineStr">
        <is>
          <t>rosytipsnailsnspa@gmail.com</t>
        </is>
      </c>
      <c r="C100" s="12" t="n">
        <v>249</v>
      </c>
      <c r="D100" s="11" t="inlineStr">
        <is>
          <t>active</t>
        </is>
      </c>
      <c r="E100" s="24" t="n">
        <v>46231</v>
      </c>
      <c r="F100" s="24" t="n">
        <v>46231</v>
      </c>
      <c r="G100" s="11" t="n">
        <v>1</v>
      </c>
      <c r="H100" s="11" t="n">
        <v>1</v>
      </c>
      <c r="I100" s="32" t="inlineStr">
        <is>
          <t>Rosy Tips Nail Salon Chula Vista CA X Zoca | Check In July</t>
        </is>
      </c>
      <c r="J100" s="11" t="b">
        <v>0</v>
      </c>
      <c r="K100" s="24" t="n"/>
      <c r="L100" s="11" t="b">
        <v>0</v>
      </c>
      <c r="M100" s="11" t="b">
        <v>0</v>
      </c>
      <c r="N100" s="11" t="b">
        <v>0</v>
      </c>
      <c r="O100" s="11" t="b">
        <v>0</v>
      </c>
      <c r="P100" s="11" t="n">
        <v>0</v>
      </c>
      <c r="Q100" s="11" t="n">
        <v>0</v>
      </c>
      <c r="R100" s="24" t="n"/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1</v>
      </c>
      <c r="AA100" s="24" t="n">
        <v>46231</v>
      </c>
      <c r="AB100" s="11" t="n">
        <v>68</v>
      </c>
      <c r="AC100" s="24" t="n">
        <v>46231</v>
      </c>
      <c r="AD100" s="11" t="inlineStr">
        <is>
          <t>https://app.fireflies.ai/view/01KYJ4W4BN3KWRZDP9XMZ03WC0</t>
        </is>
      </c>
      <c r="AE100" s="11" t="inlineStr">
        <is>
          <t>https://app.fireflies.ai/view/01KYJ4W4BN3KWRZDP9XMZ03WC0</t>
        </is>
      </c>
    </row>
    <row r="101">
      <c r="A101" s="8" t="inlineStr">
        <is>
          <t>lamaisonsalon34</t>
        </is>
      </c>
      <c r="B101" s="8" t="inlineStr">
        <is>
          <t>lamaisonsalon34@gmail.com</t>
        </is>
      </c>
      <c r="C101" s="9" t="n"/>
      <c r="D101" s="8" t="inlineStr">
        <is>
          <t>in_trial</t>
        </is>
      </c>
      <c r="E101" s="23" t="n">
        <v>46231</v>
      </c>
      <c r="F101" s="23" t="n">
        <v>46233</v>
      </c>
      <c r="G101" s="8" t="n">
        <v>3</v>
      </c>
      <c r="H101" s="8" t="n">
        <v>3</v>
      </c>
      <c r="I101" s="31" t="inlineStr">
        <is>
          <t>ZOCA &lt;&gt; La Maison Salon &amp; Spa</t>
        </is>
      </c>
      <c r="J101" s="8" t="b">
        <v>0</v>
      </c>
      <c r="K101" s="23" t="n"/>
      <c r="L101" s="8" t="b">
        <v>0</v>
      </c>
      <c r="M101" s="8" t="b">
        <v>0</v>
      </c>
      <c r="N101" s="8" t="b">
        <v>0</v>
      </c>
      <c r="O101" s="8" t="b">
        <v>0</v>
      </c>
      <c r="P101" s="8" t="n">
        <v>0</v>
      </c>
      <c r="Q101" s="8" t="n">
        <v>0</v>
      </c>
      <c r="R101" s="23" t="n"/>
      <c r="S101" s="8" t="b">
        <v>0</v>
      </c>
      <c r="T101" s="8" t="b">
        <v>1</v>
      </c>
      <c r="U101" s="8" t="b">
        <v>0</v>
      </c>
      <c r="V101" s="8" t="b">
        <v>0</v>
      </c>
      <c r="W101" s="8" t="b">
        <v>0</v>
      </c>
      <c r="X101" s="8" t="b">
        <v>0</v>
      </c>
      <c r="Y101" s="8" t="b">
        <v>0</v>
      </c>
      <c r="Z101" s="8" t="b">
        <v>1</v>
      </c>
      <c r="AA101" s="23" t="n">
        <v>46231</v>
      </c>
      <c r="AB101" s="8" t="n">
        <v>55</v>
      </c>
      <c r="AC101" s="23" t="n">
        <v>46233</v>
      </c>
      <c r="AD101" s="8" t="inlineStr">
        <is>
          <t>https://app.fireflies.ai/view/01KYA4VTBVEK720JK1FR1MTADR</t>
        </is>
      </c>
      <c r="AE101" s="8" t="inlineStr">
        <is>
          <t>https://app.fireflies.ai/view/01KYQFHH0WTEA6KEMMQSNSKK85</t>
        </is>
      </c>
    </row>
    <row r="102">
      <c r="A102" s="11" t="inlineStr">
        <is>
          <t>Shawnta &amp; Anu Catchup</t>
        </is>
      </c>
      <c r="B102" s="11" t="inlineStr">
        <is>
          <t>shawnta@inveinspa.com</t>
        </is>
      </c>
      <c r="C102" s="12" t="n">
        <v>348</v>
      </c>
      <c r="D102" s="11" t="inlineStr">
        <is>
          <t>active</t>
        </is>
      </c>
      <c r="E102" s="24" t="n">
        <v>46231</v>
      </c>
      <c r="F102" s="24" t="n">
        <v>46231</v>
      </c>
      <c r="G102" s="11" t="n">
        <v>1</v>
      </c>
      <c r="H102" s="11" t="n">
        <v>1</v>
      </c>
      <c r="I102" s="32" t="inlineStr">
        <is>
          <t>Shawnta &amp; Anu Catchup</t>
        </is>
      </c>
      <c r="J102" s="11" t="b">
        <v>0</v>
      </c>
      <c r="K102" s="24" t="n"/>
      <c r="L102" s="11" t="b">
        <v>0</v>
      </c>
      <c r="M102" s="11" t="b">
        <v>0</v>
      </c>
      <c r="N102" s="11" t="b">
        <v>0</v>
      </c>
      <c r="O102" s="11" t="b">
        <v>0</v>
      </c>
      <c r="P102" s="11" t="n">
        <v>0</v>
      </c>
      <c r="Q102" s="11" t="n">
        <v>0</v>
      </c>
      <c r="R102" s="24" t="n"/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1</v>
      </c>
      <c r="Z102" s="11" t="b">
        <v>0</v>
      </c>
      <c r="AA102" s="24" t="n">
        <v>46231</v>
      </c>
      <c r="AB102" s="11" t="n">
        <v>34</v>
      </c>
      <c r="AC102" s="24" t="n">
        <v>46231</v>
      </c>
      <c r="AD102" s="11" t="inlineStr">
        <is>
          <t>https://app.fireflies.ai/view/01KYJGRNFRFZ35PCYJSS2RT4GY</t>
        </is>
      </c>
      <c r="AE102" s="11" t="inlineStr">
        <is>
          <t>https://app.fireflies.ai/view/01KYJGRNFRFZ35PCYJSS2RT4GY</t>
        </is>
      </c>
    </row>
    <row r="103">
      <c r="A103" s="8" t="inlineStr">
        <is>
          <t>Level up with Sam</t>
        </is>
      </c>
      <c r="B103" s="8" t="inlineStr">
        <is>
          <t>levelsupwithsam@gmail.com</t>
        </is>
      </c>
      <c r="C103" s="9" t="n">
        <v>150</v>
      </c>
      <c r="D103" s="8" t="inlineStr">
        <is>
          <t>active</t>
        </is>
      </c>
      <c r="E103" s="23" t="n">
        <v>46231</v>
      </c>
      <c r="F103" s="23" t="n">
        <v>46231</v>
      </c>
      <c r="G103" s="8" t="n">
        <v>1</v>
      </c>
      <c r="H103" s="8" t="n">
        <v>1</v>
      </c>
      <c r="I103" s="31" t="inlineStr">
        <is>
          <t>Level up with Sam X Zoca | Check In July</t>
        </is>
      </c>
      <c r="J103" s="8" t="b">
        <v>1</v>
      </c>
      <c r="K103" s="23" t="n">
        <v>46184</v>
      </c>
      <c r="L103" s="8" t="b">
        <v>1</v>
      </c>
      <c r="M103" s="8" t="b">
        <v>0</v>
      </c>
      <c r="N103" s="8" t="b">
        <v>0</v>
      </c>
      <c r="O103" s="8" t="b">
        <v>0</v>
      </c>
      <c r="P103" s="8" t="n">
        <v>0</v>
      </c>
      <c r="Q103" s="8" t="n">
        <v>0</v>
      </c>
      <c r="R103" s="23" t="n"/>
      <c r="S103" s="8" t="b">
        <v>0</v>
      </c>
      <c r="T103" s="8" t="b">
        <v>0</v>
      </c>
      <c r="U103" s="8" t="b">
        <v>1</v>
      </c>
      <c r="V103" s="8" t="b">
        <v>0</v>
      </c>
      <c r="W103" s="8" t="b">
        <v>0</v>
      </c>
      <c r="X103" s="8" t="b">
        <v>0</v>
      </c>
      <c r="Y103" s="8" t="b">
        <v>0</v>
      </c>
      <c r="Z103" s="8" t="b">
        <v>0</v>
      </c>
      <c r="AA103" s="23" t="n">
        <v>46231</v>
      </c>
      <c r="AB103" s="8" t="n">
        <v>24</v>
      </c>
      <c r="AC103" s="23" t="n">
        <v>46231</v>
      </c>
      <c r="AD103" s="8" t="inlineStr">
        <is>
          <t>https://app.fireflies.ai/view/01KYJJ5N11KD7ASZ8KFFHQVWC6</t>
        </is>
      </c>
      <c r="AE103" s="8" t="inlineStr">
        <is>
          <t>https://app.fireflies.ai/view/01KYJJ5N11KD7ASZ8KFFHQVWC6</t>
        </is>
      </c>
    </row>
    <row r="104">
      <c r="A104" s="11" t="inlineStr">
        <is>
          <t>Spa Apsara Catchup</t>
        </is>
      </c>
      <c r="B104" s="11" t="inlineStr">
        <is>
          <t>admin@spa-apsara.com</t>
        </is>
      </c>
      <c r="C104" s="12" t="n">
        <v>250</v>
      </c>
      <c r="D104" s="11" t="inlineStr">
        <is>
          <t>active</t>
        </is>
      </c>
      <c r="E104" s="24" t="n">
        <v>46231</v>
      </c>
      <c r="F104" s="24" t="n">
        <v>46231</v>
      </c>
      <c r="G104" s="11" t="n">
        <v>1</v>
      </c>
      <c r="H104" s="11" t="n">
        <v>1</v>
      </c>
      <c r="I104" s="32" t="inlineStr">
        <is>
          <t>Spa Apsara Catchup</t>
        </is>
      </c>
      <c r="J104" s="11" t="b">
        <v>0</v>
      </c>
      <c r="K104" s="24" t="n"/>
      <c r="L104" s="11" t="b">
        <v>0</v>
      </c>
      <c r="M104" s="11" t="b">
        <v>0</v>
      </c>
      <c r="N104" s="11" t="b">
        <v>0</v>
      </c>
      <c r="O104" s="11" t="b">
        <v>0</v>
      </c>
      <c r="P104" s="11" t="n">
        <v>0</v>
      </c>
      <c r="Q104" s="11" t="n">
        <v>0</v>
      </c>
      <c r="R104" s="24" t="n"/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24" t="n">
        <v>46231</v>
      </c>
      <c r="AB104" s="11" t="n">
        <v>43</v>
      </c>
      <c r="AC104" s="24" t="n">
        <v>46231</v>
      </c>
      <c r="AD104" s="11" t="inlineStr">
        <is>
          <t>https://app.fireflies.ai/view/01KYJH6BM81V7B55ZR3JH7QMGW</t>
        </is>
      </c>
      <c r="AE104" s="11" t="inlineStr">
        <is>
          <t>https://app.fireflies.ai/view/01KYJH6BM81V7B55ZR3JH7QMGW</t>
        </is>
      </c>
    </row>
    <row r="105">
      <c r="A105" s="8" t="inlineStr">
        <is>
          <t>OPULENCE GROOMING &amp; MORE</t>
        </is>
      </c>
      <c r="B105" s="8" t="inlineStr">
        <is>
          <t>pat24cuts@gmail.com</t>
        </is>
      </c>
      <c r="C105" s="9" t="n">
        <v>200</v>
      </c>
      <c r="D105" s="8" t="inlineStr">
        <is>
          <t>active</t>
        </is>
      </c>
      <c r="E105" s="23" t="n">
        <v>46232</v>
      </c>
      <c r="F105" s="23" t="n">
        <v>46234</v>
      </c>
      <c r="G105" s="8" t="n">
        <v>2</v>
      </c>
      <c r="H105" s="8" t="n">
        <v>2</v>
      </c>
      <c r="I105" s="31" t="inlineStr">
        <is>
          <t>OPULENCE GROOMING &amp; MORE X Zoca | Check In July</t>
        </is>
      </c>
      <c r="J105" s="8" t="b">
        <v>0</v>
      </c>
      <c r="K105" s="23" t="n">
        <v>46234</v>
      </c>
      <c r="L105" s="8" t="b">
        <v>1</v>
      </c>
      <c r="M105" s="8" t="b">
        <v>1</v>
      </c>
      <c r="N105" s="8" t="b">
        <v>1</v>
      </c>
      <c r="O105" s="8" t="b">
        <v>1</v>
      </c>
      <c r="P105" s="8" t="n">
        <v>5</v>
      </c>
      <c r="Q105" s="8" t="n">
        <v>1</v>
      </c>
      <c r="R105" s="23" t="n">
        <v>46237</v>
      </c>
      <c r="S105" s="8" t="b">
        <v>0</v>
      </c>
      <c r="T105" s="8" t="b">
        <v>1</v>
      </c>
      <c r="U105" s="8" t="b">
        <v>0</v>
      </c>
      <c r="V105" s="8" t="b">
        <v>0</v>
      </c>
      <c r="W105" s="8" t="b">
        <v>0</v>
      </c>
      <c r="X105" s="8" t="b">
        <v>0</v>
      </c>
      <c r="Y105" s="8" t="b">
        <v>0</v>
      </c>
      <c r="Z105" s="8" t="b">
        <v>1</v>
      </c>
      <c r="AA105" s="23" t="n">
        <v>46232</v>
      </c>
      <c r="AB105" s="8" t="n">
        <v>39</v>
      </c>
      <c r="AC105" s="23" t="n">
        <v>46234</v>
      </c>
      <c r="AD105" s="8" t="inlineStr">
        <is>
          <t>https://app.fireflies.ai/view/01KYJRN9132V91XPZG9TAGSBVF</t>
        </is>
      </c>
      <c r="AE105" s="8" t="inlineStr">
        <is>
          <t>https://app.fireflies.ai/view/01KYQS7B7GNG554DA58J0BRRXM</t>
        </is>
      </c>
    </row>
    <row r="106">
      <c r="A106" s="11" t="inlineStr">
        <is>
          <t>Zoca</t>
        </is>
      </c>
      <c r="B106" s="11" t="inlineStr">
        <is>
          <t>serenitynails1@yahoo.com</t>
        </is>
      </c>
      <c r="C106" s="12" t="n">
        <v>150</v>
      </c>
      <c r="D106" s="11" t="inlineStr">
        <is>
          <t>active</t>
        </is>
      </c>
      <c r="E106" s="24" t="n">
        <v>46232</v>
      </c>
      <c r="F106" s="24" t="n">
        <v>46232</v>
      </c>
      <c r="G106" s="11" t="n">
        <v>1</v>
      </c>
      <c r="H106" s="11" t="n">
        <v>1</v>
      </c>
      <c r="I106" s="32" t="inlineStr">
        <is>
          <t>Zoca &lt;&gt; Serenity Nails and spa</t>
        </is>
      </c>
      <c r="J106" s="11" t="b">
        <v>0</v>
      </c>
      <c r="K106" s="24" t="n"/>
      <c r="L106" s="11" t="b">
        <v>0</v>
      </c>
      <c r="M106" s="11" t="b">
        <v>0</v>
      </c>
      <c r="N106" s="11" t="b">
        <v>0</v>
      </c>
      <c r="O106" s="11" t="b">
        <v>0</v>
      </c>
      <c r="P106" s="11" t="n">
        <v>0</v>
      </c>
      <c r="Q106" s="11" t="n">
        <v>0</v>
      </c>
      <c r="R106" s="24" t="n"/>
      <c r="S106" s="11" t="b">
        <v>0</v>
      </c>
      <c r="T106" s="11" t="b">
        <v>1</v>
      </c>
      <c r="U106" s="11" t="b">
        <v>0</v>
      </c>
      <c r="V106" s="11" t="b">
        <v>0</v>
      </c>
      <c r="W106" s="11" t="b">
        <v>0</v>
      </c>
      <c r="X106" s="11" t="b">
        <v>0</v>
      </c>
      <c r="Y106" s="11" t="b">
        <v>0</v>
      </c>
      <c r="Z106" s="11" t="b">
        <v>0</v>
      </c>
      <c r="AA106" s="24" t="n">
        <v>46232</v>
      </c>
      <c r="AB106" s="11" t="n">
        <v>24</v>
      </c>
      <c r="AC106" s="24" t="n">
        <v>46232</v>
      </c>
      <c r="AD106" s="11" t="inlineStr">
        <is>
          <t>https://app.fireflies.ai/view/01KYN5M23P2M3X15M8TK66V1YD</t>
        </is>
      </c>
      <c r="AE106" s="11" t="inlineStr">
        <is>
          <t>https://app.fireflies.ai/view/01KYN5M23P2M3X15M8TK66V1YD</t>
        </is>
      </c>
    </row>
    <row r="107">
      <c r="A107" s="8" t="inlineStr">
        <is>
          <t>Spoiled by kanda</t>
        </is>
      </c>
      <c r="B107" s="8" t="inlineStr">
        <is>
          <t>spoiledbykandalmt@gmail.com</t>
        </is>
      </c>
      <c r="C107" s="9" t="n">
        <v>199</v>
      </c>
      <c r="D107" s="8" t="inlineStr">
        <is>
          <t>active</t>
        </is>
      </c>
      <c r="E107" s="23" t="n">
        <v>46232</v>
      </c>
      <c r="F107" s="23" t="n">
        <v>46232</v>
      </c>
      <c r="G107" s="8" t="n">
        <v>1</v>
      </c>
      <c r="H107" s="8" t="n">
        <v>1</v>
      </c>
      <c r="I107" s="31" t="inlineStr">
        <is>
          <t>Spoiled by kanda X Zoca | Check In July</t>
        </is>
      </c>
      <c r="J107" s="8" t="b">
        <v>0</v>
      </c>
      <c r="K107" s="23" t="n"/>
      <c r="L107" s="8" t="b">
        <v>0</v>
      </c>
      <c r="M107" s="8" t="b">
        <v>0</v>
      </c>
      <c r="N107" s="8" t="b">
        <v>0</v>
      </c>
      <c r="O107" s="8" t="b">
        <v>0</v>
      </c>
      <c r="P107" s="8" t="n">
        <v>0</v>
      </c>
      <c r="Q107" s="8" t="n">
        <v>0</v>
      </c>
      <c r="R107" s="23" t="n"/>
      <c r="S107" s="8" t="b">
        <v>0</v>
      </c>
      <c r="T107" s="8" t="b">
        <v>0</v>
      </c>
      <c r="U107" s="8" t="b">
        <v>0</v>
      </c>
      <c r="V107" s="8" t="b">
        <v>0</v>
      </c>
      <c r="W107" s="8" t="b">
        <v>1</v>
      </c>
      <c r="X107" s="8" t="b">
        <v>0</v>
      </c>
      <c r="Y107" s="8" t="b">
        <v>0</v>
      </c>
      <c r="Z107" s="8" t="b">
        <v>1</v>
      </c>
      <c r="AA107" s="23" t="n">
        <v>46232</v>
      </c>
      <c r="AB107" s="8" t="n">
        <v>31</v>
      </c>
      <c r="AC107" s="23" t="n">
        <v>46232</v>
      </c>
      <c r="AD107" s="8" t="inlineStr">
        <is>
          <t>https://app.fireflies.ai/view/01KYQ4395RE1R9VQPWVE4MK5FM</t>
        </is>
      </c>
      <c r="AE107" s="8" t="inlineStr">
        <is>
          <t>https://app.fireflies.ai/view/01KYQ4395RE1R9VQPWVE4MK5FM</t>
        </is>
      </c>
    </row>
    <row r="108">
      <c r="A108" s="11" t="inlineStr">
        <is>
          <t>Skin by Lisa</t>
        </is>
      </c>
      <c r="B108" s="11" t="inlineStr">
        <is>
          <t>lisaotang@gmail.com</t>
        </is>
      </c>
      <c r="C108" s="12" t="n">
        <v>250</v>
      </c>
      <c r="D108" s="11" t="inlineStr">
        <is>
          <t>active</t>
        </is>
      </c>
      <c r="E108" s="24" t="n">
        <v>46232</v>
      </c>
      <c r="F108" s="24" t="n">
        <v>46232</v>
      </c>
      <c r="G108" s="11" t="n">
        <v>1</v>
      </c>
      <c r="H108" s="11" t="n">
        <v>1</v>
      </c>
      <c r="I108" s="32" t="inlineStr">
        <is>
          <t>Skin by Lisa X Zoca | Check In July</t>
        </is>
      </c>
      <c r="J108" s="11" t="b">
        <v>0</v>
      </c>
      <c r="K108" s="24" t="n"/>
      <c r="L108" s="11" t="b">
        <v>0</v>
      </c>
      <c r="M108" s="11" t="b">
        <v>0</v>
      </c>
      <c r="N108" s="11" t="b">
        <v>0</v>
      </c>
      <c r="O108" s="11" t="b">
        <v>0</v>
      </c>
      <c r="P108" s="11" t="n">
        <v>0</v>
      </c>
      <c r="Q108" s="11" t="n">
        <v>0</v>
      </c>
      <c r="R108" s="24" t="n"/>
      <c r="S108" s="11" t="b">
        <v>0</v>
      </c>
      <c r="T108" s="11" t="b">
        <v>0</v>
      </c>
      <c r="U108" s="11" t="b">
        <v>0</v>
      </c>
      <c r="V108" s="11" t="b">
        <v>0</v>
      </c>
      <c r="W108" s="11" t="b">
        <v>0</v>
      </c>
      <c r="X108" s="11" t="b">
        <v>0</v>
      </c>
      <c r="Y108" s="11" t="b">
        <v>0</v>
      </c>
      <c r="Z108" s="11" t="b">
        <v>0</v>
      </c>
      <c r="AA108" s="24" t="n">
        <v>46232</v>
      </c>
      <c r="AB108" s="11" t="n">
        <v>39</v>
      </c>
      <c r="AC108" s="24" t="n">
        <v>46232</v>
      </c>
      <c r="AD108" s="11" t="inlineStr">
        <is>
          <t>https://app.fireflies.ai/view/01KYJDJFMEBA8AWBF2NS5FZPG5</t>
        </is>
      </c>
      <c r="AE108" s="11" t="inlineStr">
        <is>
          <t>https://app.fireflies.ai/view/01KYJDJFMEBA8AWBF2NS5FZPG5</t>
        </is>
      </c>
    </row>
    <row r="109">
      <c r="A109" s="8" t="inlineStr">
        <is>
          <t>Mitzie’s Hair</t>
        </is>
      </c>
      <c r="B109" s="8" t="inlineStr">
        <is>
          <t>mitzieshairboutique@gmail.com</t>
        </is>
      </c>
      <c r="C109" s="9" t="n">
        <v>199</v>
      </c>
      <c r="D109" s="8" t="inlineStr">
        <is>
          <t>active</t>
        </is>
      </c>
      <c r="E109" s="23" t="n">
        <v>46232</v>
      </c>
      <c r="F109" s="23" t="n">
        <v>46233</v>
      </c>
      <c r="G109" s="8" t="n">
        <v>2</v>
      </c>
      <c r="H109" s="8" t="n">
        <v>1</v>
      </c>
      <c r="I109" s="31" t="inlineStr">
        <is>
          <t>Mitzie’s Hair X Zoca | Check In July</t>
        </is>
      </c>
      <c r="J109" s="8" t="b">
        <v>0</v>
      </c>
      <c r="K109" s="23" t="n">
        <v>46232</v>
      </c>
      <c r="L109" s="8" t="b">
        <v>1</v>
      </c>
      <c r="M109" s="8" t="b">
        <v>1</v>
      </c>
      <c r="N109" s="8" t="b">
        <v>1</v>
      </c>
      <c r="O109" s="8" t="b">
        <v>1</v>
      </c>
      <c r="P109" s="8" t="n">
        <v>0</v>
      </c>
      <c r="Q109" s="8" t="n">
        <v>0</v>
      </c>
      <c r="R109" s="23" t="n"/>
      <c r="S109" s="8" t="b">
        <v>0</v>
      </c>
      <c r="T109" s="8" t="b">
        <v>1</v>
      </c>
      <c r="U109" s="8" t="b">
        <v>1</v>
      </c>
      <c r="V109" s="8" t="b">
        <v>1</v>
      </c>
      <c r="W109" s="8" t="b">
        <v>0</v>
      </c>
      <c r="X109" s="8" t="b">
        <v>0</v>
      </c>
      <c r="Y109" s="8" t="b">
        <v>0</v>
      </c>
      <c r="Z109" s="8" t="b">
        <v>1</v>
      </c>
      <c r="AA109" s="23" t="n">
        <v>46232</v>
      </c>
      <c r="AB109" s="8" t="n">
        <v>52</v>
      </c>
      <c r="AC109" s="23" t="n">
        <v>46232</v>
      </c>
      <c r="AD109" s="8" t="inlineStr">
        <is>
          <t>https://app.fireflies.ai/view/01KYQSXXB9CR2APZN6DJZ2F1SD</t>
        </is>
      </c>
      <c r="AE109" s="8" t="inlineStr">
        <is>
          <t>https://app.fireflies.ai/view/01KYQSXXB9CR2APZN6DJZ2F1SD</t>
        </is>
      </c>
    </row>
    <row r="110">
      <c r="A110" s="11" t="inlineStr">
        <is>
          <t>Salt Hair Studio</t>
        </is>
      </c>
      <c r="B110" s="11" t="inlineStr">
        <is>
          <t>salthairstudio@gmail.com</t>
        </is>
      </c>
      <c r="C110" s="12" t="n">
        <v>199</v>
      </c>
      <c r="D110" s="11" t="inlineStr">
        <is>
          <t>active</t>
        </is>
      </c>
      <c r="E110" s="24" t="n">
        <v>46233</v>
      </c>
      <c r="F110" s="24" t="n">
        <v>46233</v>
      </c>
      <c r="G110" s="11" t="n">
        <v>1</v>
      </c>
      <c r="H110" s="11" t="n">
        <v>1</v>
      </c>
      <c r="I110" s="32" t="inlineStr">
        <is>
          <t>Salt Hair Studio X Zoca | Check In July</t>
        </is>
      </c>
      <c r="J110" s="11" t="b">
        <v>0</v>
      </c>
      <c r="K110" s="24" t="n"/>
      <c r="L110" s="11" t="b">
        <v>0</v>
      </c>
      <c r="M110" s="11" t="b">
        <v>0</v>
      </c>
      <c r="N110" s="11" t="b">
        <v>0</v>
      </c>
      <c r="O110" s="11" t="b">
        <v>0</v>
      </c>
      <c r="P110" s="11" t="n">
        <v>0</v>
      </c>
      <c r="Q110" s="11" t="n">
        <v>0</v>
      </c>
      <c r="R110" s="24" t="n"/>
      <c r="S110" s="11" t="b">
        <v>0</v>
      </c>
      <c r="T110" s="11" t="b">
        <v>0</v>
      </c>
      <c r="U110" s="11" t="b">
        <v>0</v>
      </c>
      <c r="V110" s="11" t="b">
        <v>0</v>
      </c>
      <c r="W110" s="11" t="b">
        <v>0</v>
      </c>
      <c r="X110" s="11" t="b">
        <v>0</v>
      </c>
      <c r="Y110" s="11" t="b">
        <v>0</v>
      </c>
      <c r="Z110" s="11" t="b">
        <v>1</v>
      </c>
      <c r="AA110" s="24" t="n">
        <v>46233</v>
      </c>
      <c r="AB110" s="11" t="n">
        <v>29</v>
      </c>
      <c r="AC110" s="24" t="n">
        <v>46233</v>
      </c>
      <c r="AD110" s="11" t="inlineStr">
        <is>
          <t>https://app.fireflies.ai/view/01KYN58Z4CQ3X4BWF1BPN23N6R</t>
        </is>
      </c>
      <c r="AE110" s="11" t="inlineStr">
        <is>
          <t>https://app.fireflies.ai/view/01KYN58Z4CQ3X4BWF1BPN23N6R</t>
        </is>
      </c>
    </row>
    <row r="111">
      <c r="A111" s="8" t="inlineStr">
        <is>
          <t>Anu &amp; Giza Catchup</t>
        </is>
      </c>
      <c r="B111" s="8" t="inlineStr">
        <is>
          <t>emeraldbeautystudioo@gmail.com</t>
        </is>
      </c>
      <c r="C111" s="9" t="n">
        <v>249</v>
      </c>
      <c r="D111" s="8" t="inlineStr">
        <is>
          <t>active</t>
        </is>
      </c>
      <c r="E111" s="23" t="n">
        <v>46233</v>
      </c>
      <c r="F111" s="23" t="n">
        <v>46233</v>
      </c>
      <c r="G111" s="8" t="n">
        <v>1</v>
      </c>
      <c r="H111" s="8" t="n">
        <v>1</v>
      </c>
      <c r="I111" s="31" t="inlineStr">
        <is>
          <t>Anu &amp; Giza Catchup</t>
        </is>
      </c>
      <c r="J111" s="8" t="b">
        <v>0</v>
      </c>
      <c r="K111" s="23" t="n"/>
      <c r="L111" s="8" t="b">
        <v>0</v>
      </c>
      <c r="M111" s="8" t="b">
        <v>0</v>
      </c>
      <c r="N111" s="8" t="b">
        <v>0</v>
      </c>
      <c r="O111" s="8" t="b">
        <v>0</v>
      </c>
      <c r="P111" s="8" t="n">
        <v>0</v>
      </c>
      <c r="Q111" s="8" t="n">
        <v>0</v>
      </c>
      <c r="R111" s="23" t="n"/>
      <c r="S111" s="8" t="b">
        <v>0</v>
      </c>
      <c r="T111" s="8" t="b">
        <v>0</v>
      </c>
      <c r="U111" s="8" t="b">
        <v>0</v>
      </c>
      <c r="V111" s="8" t="b">
        <v>1</v>
      </c>
      <c r="W111" s="8" t="b">
        <v>0</v>
      </c>
      <c r="X111" s="8" t="b">
        <v>0</v>
      </c>
      <c r="Y111" s="8" t="b">
        <v>0</v>
      </c>
      <c r="Z111" s="8" t="b">
        <v>1</v>
      </c>
      <c r="AA111" s="23" t="n">
        <v>46233</v>
      </c>
      <c r="AB111" s="8" t="n">
        <v>27</v>
      </c>
      <c r="AC111" s="23" t="n">
        <v>46233</v>
      </c>
      <c r="AD111" s="8" t="inlineStr">
        <is>
          <t>https://app.fireflies.ai/view/01KYQFXSG5PGRD98F6K1998XXR</t>
        </is>
      </c>
      <c r="AE111" s="8" t="inlineStr">
        <is>
          <t>https://app.fireflies.ai/view/01KYQFXSG5PGRD98F6K1998XXR</t>
        </is>
      </c>
    </row>
    <row r="112">
      <c r="A112" s="11" t="inlineStr">
        <is>
          <t>Tara-Radiance</t>
        </is>
      </c>
      <c r="B112" s="11" t="inlineStr">
        <is>
          <t>tara@radiancebeautifulskin.com</t>
        </is>
      </c>
      <c r="C112" s="12" t="n">
        <v>499</v>
      </c>
      <c r="D112" s="11" t="inlineStr">
        <is>
          <t>active</t>
        </is>
      </c>
      <c r="E112" s="24" t="n">
        <v>46234</v>
      </c>
      <c r="F112" s="24" t="n">
        <v>46234</v>
      </c>
      <c r="G112" s="11" t="n">
        <v>1</v>
      </c>
      <c r="H112" s="11" t="n">
        <v>1</v>
      </c>
      <c r="I112" s="32" t="inlineStr">
        <is>
          <t>Zoca - Tara-Radiance</t>
        </is>
      </c>
      <c r="J112" s="11" t="b">
        <v>0</v>
      </c>
      <c r="K112" s="24" t="n"/>
      <c r="L112" s="11" t="b">
        <v>0</v>
      </c>
      <c r="M112" s="11" t="b">
        <v>0</v>
      </c>
      <c r="N112" s="11" t="b">
        <v>0</v>
      </c>
      <c r="O112" s="11" t="b">
        <v>0</v>
      </c>
      <c r="P112" s="11" t="n">
        <v>0</v>
      </c>
      <c r="Q112" s="11" t="n">
        <v>0</v>
      </c>
      <c r="R112" s="24" t="n"/>
      <c r="S112" s="11" t="b">
        <v>0</v>
      </c>
      <c r="T112" s="11" t="b">
        <v>0</v>
      </c>
      <c r="U112" s="11" t="b">
        <v>0</v>
      </c>
      <c r="V112" s="11" t="b">
        <v>0</v>
      </c>
      <c r="W112" s="11" t="b">
        <v>1</v>
      </c>
      <c r="X112" s="11" t="b">
        <v>0</v>
      </c>
      <c r="Y112" s="11" t="b">
        <v>0</v>
      </c>
      <c r="Z112" s="11" t="b">
        <v>0</v>
      </c>
      <c r="AA112" s="24" t="n">
        <v>46234</v>
      </c>
      <c r="AB112" s="11" t="n">
        <v>27</v>
      </c>
      <c r="AC112" s="24" t="n">
        <v>46234</v>
      </c>
      <c r="AD112" s="11" t="inlineStr">
        <is>
          <t>https://app.fireflies.ai/view/01KYMHWX0TDAAAJN8GJ3GQ22H1</t>
        </is>
      </c>
      <c r="AE112" s="11" t="inlineStr">
        <is>
          <t>https://app.fireflies.ai/view/01KYMHWX0TDAAAJN8GJ3GQ22H1</t>
        </is>
      </c>
    </row>
    <row r="113">
      <c r="A113" s="8" t="inlineStr">
        <is>
          <t>Emerald Ivory Wellness Spa</t>
        </is>
      </c>
      <c r="B113" s="8" t="inlineStr">
        <is>
          <t>Info@emeraldivorywellness.com</t>
        </is>
      </c>
      <c r="C113" s="9" t="n">
        <v>149</v>
      </c>
      <c r="D113" s="8" t="inlineStr">
        <is>
          <t>active</t>
        </is>
      </c>
      <c r="E113" s="23" t="n">
        <v>46234</v>
      </c>
      <c r="F113" s="23" t="n">
        <v>46234</v>
      </c>
      <c r="G113" s="8" t="n">
        <v>1</v>
      </c>
      <c r="H113" s="8" t="n">
        <v>1</v>
      </c>
      <c r="I113" s="31" t="inlineStr">
        <is>
          <t>Emerald Ivory Wellness Spa X Zoca | Check In July</t>
        </is>
      </c>
      <c r="J113" s="8" t="b">
        <v>0</v>
      </c>
      <c r="K113" s="23" t="n"/>
      <c r="L113" s="8" t="b">
        <v>0</v>
      </c>
      <c r="M113" s="8" t="b">
        <v>0</v>
      </c>
      <c r="N113" s="8" t="b">
        <v>0</v>
      </c>
      <c r="O113" s="8" t="b">
        <v>0</v>
      </c>
      <c r="P113" s="8" t="n">
        <v>0</v>
      </c>
      <c r="Q113" s="8" t="n">
        <v>0</v>
      </c>
      <c r="R113" s="23" t="n"/>
      <c r="S113" s="8" t="b">
        <v>0</v>
      </c>
      <c r="T113" s="8" t="b">
        <v>0</v>
      </c>
      <c r="U113" s="8" t="b">
        <v>0</v>
      </c>
      <c r="V113" s="8" t="b">
        <v>0</v>
      </c>
      <c r="W113" s="8" t="b">
        <v>0</v>
      </c>
      <c r="X113" s="8" t="b">
        <v>0</v>
      </c>
      <c r="Y113" s="8" t="b">
        <v>0</v>
      </c>
      <c r="Z113" s="8" t="b">
        <v>0</v>
      </c>
      <c r="AA113" s="23" t="n">
        <v>46234</v>
      </c>
      <c r="AB113" s="8" t="n">
        <v>43</v>
      </c>
      <c r="AC113" s="23" t="n">
        <v>46234</v>
      </c>
      <c r="AD113" s="8" t="inlineStr">
        <is>
          <t>https://app.fireflies.ai/view/01KYWDYRT4C0W0QNHZHSGPB2F2</t>
        </is>
      </c>
      <c r="AE113" s="8" t="inlineStr">
        <is>
          <t>https://app.fireflies.ai/view/01KYWDYRT4C0W0QNHZHSGPB2F2</t>
        </is>
      </c>
    </row>
    <row r="114">
      <c r="A114" s="11" t="inlineStr">
        <is>
          <t>L’AURA AESTHETICS</t>
        </is>
      </c>
      <c r="B114" s="11" t="inlineStr">
        <is>
          <t>Laura.Esquivel85@gmail.com</t>
        </is>
      </c>
      <c r="C114" s="12" t="n"/>
      <c r="D114" s="11" t="n"/>
      <c r="E114" s="24" t="n">
        <v>46234</v>
      </c>
      <c r="F114" s="24" t="n">
        <v>46234</v>
      </c>
      <c r="G114" s="11" t="n">
        <v>1</v>
      </c>
      <c r="H114" s="11" t="n">
        <v>1</v>
      </c>
      <c r="I114" s="32" t="inlineStr">
        <is>
          <t>L’AURA AESTHETICS &lt;&gt; Check - in</t>
        </is>
      </c>
      <c r="J114" s="11" t="b">
        <v>0</v>
      </c>
      <c r="K114" s="24" t="n"/>
      <c r="L114" s="11" t="b">
        <v>0</v>
      </c>
      <c r="M114" s="11" t="b">
        <v>0</v>
      </c>
      <c r="N114" s="11" t="b">
        <v>0</v>
      </c>
      <c r="O114" s="11" t="b">
        <v>0</v>
      </c>
      <c r="P114" s="11" t="n">
        <v>0</v>
      </c>
      <c r="Q114" s="11" t="n">
        <v>0</v>
      </c>
      <c r="R114" s="24" t="n"/>
      <c r="S114" s="11" t="b">
        <v>0</v>
      </c>
      <c r="T114" s="11" t="b">
        <v>0</v>
      </c>
      <c r="U114" s="11" t="b">
        <v>0</v>
      </c>
      <c r="V114" s="11" t="b">
        <v>0</v>
      </c>
      <c r="W114" s="11" t="b">
        <v>1</v>
      </c>
      <c r="X114" s="11" t="b">
        <v>0</v>
      </c>
      <c r="Y114" s="11" t="b">
        <v>0</v>
      </c>
      <c r="Z114" s="11" t="b">
        <v>1</v>
      </c>
      <c r="AA114" s="24" t="n">
        <v>46234</v>
      </c>
      <c r="AB114" s="11" t="n">
        <v>39</v>
      </c>
      <c r="AC114" s="24" t="n">
        <v>46234</v>
      </c>
      <c r="AD114" s="11" t="inlineStr">
        <is>
          <t>https://app.fireflies.ai/view/01KYTEHAWWTEVY1XBEH8VARVAJ</t>
        </is>
      </c>
      <c r="AE114" s="11" t="inlineStr">
        <is>
          <t>https://app.fireflies.ai/view/01KYTEHAWWTEVY1XBEH8VARVAJ</t>
        </is>
      </c>
    </row>
    <row r="115"/>
    <row r="116">
      <c r="A116" s="15" t="inlineStr">
        <is>
          <t>Column I links to the FIRST call in July where scheduling was offered to this account. AD/AE hold the raw URLs (first and last offer call) for copying. Fireflies sign-in required. Two further accounts matched the offer wording but not the product-mention filter used to build this sheet, so they are not listed here.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26" customWidth="1" min="4" max="4"/>
  </cols>
  <sheetData>
    <row r="1">
      <c r="A1" s="1" t="inlineStr">
        <is>
          <t>Scheduling adoption funnel — all 444 onboarding locations, 30/01/26 to 31/07/26</t>
        </is>
      </c>
    </row>
    <row r="2">
      <c r="A2" s="15" t="inlineStr">
        <is>
          <t>Every count calculates from the Locations sheet.</t>
        </is>
      </c>
    </row>
    <row r="4">
      <c r="A4" s="7" t="inlineStr">
        <is>
          <t>Stage</t>
        </is>
      </c>
      <c r="B4" s="7" t="inlineStr">
        <is>
          <t>Locations</t>
        </is>
      </c>
      <c r="C4" s="7" t="inlineStr">
        <is>
          <t>% of entered</t>
        </is>
      </c>
      <c r="D4" s="7" t="inlineStr">
        <is>
          <t>Reading</t>
        </is>
      </c>
    </row>
    <row r="5">
      <c r="A5" s="17" t="inlineStr">
        <is>
          <t>Entered onboarding</t>
        </is>
      </c>
      <c r="B5" s="17">
        <f>COUNTA(Locations!$A$2:$A$445)</f>
        <v/>
      </c>
      <c r="C5" s="18">
        <f>B5/$B$5</f>
        <v/>
      </c>
      <c r="D5" s="17" t="inlineStr">
        <is>
          <t>Denominator</t>
        </is>
      </c>
    </row>
    <row r="6">
      <c r="A6" s="11" t="inlineStr">
        <is>
          <t>Opted in</t>
        </is>
      </c>
      <c r="B6" s="11">
        <f>SUMPRODUCT(--(Locations!$E$2:$E$445=TRUE))</f>
        <v/>
      </c>
      <c r="C6" s="21">
        <f>B6/$B$5</f>
        <v/>
      </c>
      <c r="D6" s="11" t="inlineStr"/>
    </row>
    <row r="7">
      <c r="A7" s="11" t="inlineStr">
        <is>
          <t>Business details set</t>
        </is>
      </c>
      <c r="B7" s="11">
        <f>SUMPRODUCT(--(Locations!$F$2:$F$445=TRUE))</f>
        <v/>
      </c>
      <c r="C7" s="21">
        <f>B7/$B$5</f>
        <v/>
      </c>
      <c r="D7" s="11" t="inlineStr"/>
    </row>
    <row r="8">
      <c r="A8" s="11" t="inlineStr">
        <is>
          <t>Services configured</t>
        </is>
      </c>
      <c r="B8" s="11">
        <f>SUMPRODUCT(--(Locations!$G$2:$G$445=TRUE))</f>
        <v/>
      </c>
      <c r="C8" s="21">
        <f>B8/$B$5</f>
        <v/>
      </c>
      <c r="D8" s="11" t="inlineStr"/>
    </row>
    <row r="9">
      <c r="A9" s="11" t="inlineStr">
        <is>
          <t>Booking rules configured</t>
        </is>
      </c>
      <c r="B9" s="11">
        <f>SUMPRODUCT(--(Locations!$H$2:$H$445=TRUE))</f>
        <v/>
      </c>
      <c r="C9" s="21">
        <f>B9/$B$5</f>
        <v/>
      </c>
      <c r="D9" s="11" t="inlineStr"/>
    </row>
    <row r="10">
      <c r="A10" s="11" t="inlineStr">
        <is>
          <t>Booking policies configured</t>
        </is>
      </c>
      <c r="B10" s="11">
        <f>SUMPRODUCT(--(Locations!$I$2:$I$445=TRUE))</f>
        <v/>
      </c>
      <c r="C10" s="21">
        <f>B10/$B$5</f>
        <v/>
      </c>
      <c r="D10" s="11" t="inlineStr"/>
    </row>
    <row r="11">
      <c r="A11" s="11" t="inlineStr">
        <is>
          <t>Website flipped to Zoca booking</t>
        </is>
      </c>
      <c r="B11" s="11">
        <f>SUMPRODUCT(--(Locations!$N$2:$N$445=TRUE))</f>
        <v/>
      </c>
      <c r="C11" s="21">
        <f>B11/$B$5</f>
        <v/>
      </c>
      <c r="D11" s="11" t="inlineStr"/>
    </row>
    <row r="12">
      <c r="A12" s="11" t="inlineStr">
        <is>
          <t>Onboarding completed</t>
        </is>
      </c>
      <c r="B12" s="11">
        <f>SUMPRODUCT(--(Locations!$L$2:$L$445=TRUE))</f>
        <v/>
      </c>
      <c r="C12" s="21">
        <f>B12/$B$5</f>
        <v/>
      </c>
      <c r="D12" s="11" t="inlineStr"/>
    </row>
    <row r="13">
      <c r="A13" s="17" t="inlineStr">
        <is>
          <t>Scheduling enabled</t>
        </is>
      </c>
      <c r="B13" s="17">
        <f>SUMPRODUCT(--(Locations!$M$2:$M$445=TRUE))</f>
        <v/>
      </c>
      <c r="C13" s="18">
        <f>B13/$B$5</f>
        <v/>
      </c>
      <c r="D13" s="17" t="inlineStr">
        <is>
          <t>SETUP conversion</t>
        </is>
      </c>
    </row>
    <row r="14">
      <c r="A14" s="17" t="inlineStr">
        <is>
          <t>Payments configured</t>
        </is>
      </c>
      <c r="B14" s="17">
        <f>SUMPRODUCT(--(Locations!$J$2:$J$445=TRUE))</f>
        <v/>
      </c>
      <c r="C14" s="18">
        <f>B14/$B$5</f>
        <v/>
      </c>
      <c r="D14" s="17" t="inlineStr">
        <is>
          <t>The wall</t>
        </is>
      </c>
    </row>
    <row r="15">
      <c r="A15" s="17" t="inlineStr">
        <is>
          <t>Payments explicitly skipped</t>
        </is>
      </c>
      <c r="B15" s="17">
        <f>SUMPRODUCT(--(Locations!$K$2:$K$445=TRUE))</f>
        <v/>
      </c>
      <c r="C15" s="18">
        <f>B15/$B$5</f>
        <v/>
      </c>
      <c r="D15" s="17" t="inlineStr">
        <is>
          <t>The wall</t>
        </is>
      </c>
    </row>
    <row r="16">
      <c r="A16" s="17" t="inlineStr">
        <is>
          <t>Ever took a booking</t>
        </is>
      </c>
      <c r="B16" s="17">
        <f>SUMPRODUCT(--(Locations!$O$2:$O$445&gt;0))</f>
        <v/>
      </c>
      <c r="C16" s="18">
        <f>B16/$B$5</f>
        <v/>
      </c>
      <c r="D16" s="17" t="inlineStr">
        <is>
          <t>ACTIVATION conversion</t>
        </is>
      </c>
    </row>
    <row r="17">
      <c r="A17" s="11" t="inlineStr">
        <is>
          <t>Ever took a customer-made online booking</t>
        </is>
      </c>
      <c r="B17" s="11">
        <f>SUMPRODUCT(--(Locations!$P$2:$P$445&gt;0))</f>
        <v/>
      </c>
      <c r="C17" s="21">
        <f>B17/$B$5</f>
        <v/>
      </c>
      <c r="D17" s="11" t="inlineStr"/>
    </row>
    <row r="18">
      <c r="A18" s="11" t="inlineStr">
        <is>
          <t>Booked in last 90 days</t>
        </is>
      </c>
      <c r="B18" s="11">
        <f>SUMPRODUCT(--(Locations!$T$2:$T$445&gt;=Summary!$B$3-90))</f>
        <v/>
      </c>
      <c r="C18" s="21">
        <f>B18/$B$5</f>
        <v/>
      </c>
      <c r="D18" s="29" t="inlineStr">
        <is>
          <t>198 here vs 196 in the report: the report used query-run time, this uses the fixed as-of date (a ~16h wider window). This is the reproducible one.</t>
        </is>
      </c>
    </row>
    <row r="19">
      <c r="A19" s="17" t="inlineStr">
        <is>
          <t>Booked in last 30 days</t>
        </is>
      </c>
      <c r="B19" s="17">
        <f>SUMPRODUCT(--(Locations!$T$2:$T$445&gt;=Summary!$B$3-30))</f>
        <v/>
      </c>
      <c r="C19" s="18">
        <f>B19/$B$5</f>
        <v/>
      </c>
      <c r="D19" s="17" t="inlineStr">
        <is>
          <t>SUSTAINED conversion</t>
        </is>
      </c>
    </row>
    <row r="21">
      <c r="A21" s="15" t="inlineStr">
        <is>
          <t>Three different conversion rates live in this one funnel. Say which one you are quoting: setup 83%, activation 64%, sustained 33%.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47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40" customWidth="1" min="2" max="2"/>
    <col width="9" customWidth="1" min="3" max="3"/>
    <col width="9" customWidth="1" min="4" max="4"/>
    <col width="10" customWidth="1" min="5" max="5"/>
    <col width="11" customWidth="1" min="6" max="6"/>
    <col width="10" customWidth="1" min="7" max="7"/>
    <col width="11" customWidth="1" min="8" max="8"/>
    <col width="12" customWidth="1" min="9" max="9"/>
    <col width="11" customWidth="1" min="10" max="10"/>
    <col width="12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4" customWidth="1" min="21" max="21"/>
    <col width="24" customWidth="1" min="22" max="22"/>
    <col width="11" customWidth="1" min="23" max="23"/>
    <col width="12" customWidth="1" min="24" max="24"/>
    <col width="17" customWidth="1" min="26" max="26"/>
  </cols>
  <sheetData>
    <row r="1">
      <c r="A1" s="7" t="inlineStr">
        <is>
          <t>Location entity id</t>
        </is>
      </c>
      <c r="B1" s="7" t="inlineStr">
        <is>
          <t>Business name</t>
        </is>
      </c>
      <c r="C1" s="7" t="inlineStr">
        <is>
          <t>Onboarding started</t>
        </is>
      </c>
      <c r="D1" s="7" t="inlineStr">
        <is>
          <t>Cohort</t>
        </is>
      </c>
      <c r="E1" s="7" t="inlineStr">
        <is>
          <t>Opted in</t>
        </is>
      </c>
      <c r="F1" s="7" t="inlineStr">
        <is>
          <t>Business details</t>
        </is>
      </c>
      <c r="G1" s="7" t="inlineStr">
        <is>
          <t>Services configured</t>
        </is>
      </c>
      <c r="H1" s="7" t="inlineStr">
        <is>
          <t>Booking rules</t>
        </is>
      </c>
      <c r="I1" s="7" t="inlineStr">
        <is>
          <t>Booking policies</t>
        </is>
      </c>
      <c r="J1" s="7" t="inlineStr">
        <is>
          <t>Payments configured</t>
        </is>
      </c>
      <c r="K1" s="7" t="inlineStr">
        <is>
          <t>Payments skipped</t>
        </is>
      </c>
      <c r="L1" s="7" t="inlineStr">
        <is>
          <t>Onboarding completed</t>
        </is>
      </c>
      <c r="M1" s="7" t="inlineStr">
        <is>
          <t>Scheduling enabled</t>
        </is>
      </c>
      <c r="N1" s="7" t="inlineStr">
        <is>
          <t>Website flipped</t>
        </is>
      </c>
      <c r="O1" s="7" t="inlineStr">
        <is>
          <t>Native bookings</t>
        </is>
      </c>
      <c r="P1" s="7" t="inlineStr">
        <is>
          <t>Online bookings</t>
        </is>
      </c>
      <c r="Q1" s="7" t="inlineStr">
        <is>
          <t>Migrated bookings</t>
        </is>
      </c>
      <c r="R1" s="7" t="inlineStr">
        <is>
          <t>Migration source</t>
        </is>
      </c>
      <c r="S1" s="7" t="inlineStr">
        <is>
          <t>First booking</t>
        </is>
      </c>
      <c r="T1" s="7" t="inlineStr">
        <is>
          <t>Last booking</t>
        </is>
      </c>
      <c r="U1" s="7" t="inlineStr">
        <is>
          <t>Paid transactions</t>
        </is>
      </c>
      <c r="V1" s="7" t="inlineStr">
        <is>
          <t>Paid amount (USD)</t>
        </is>
      </c>
      <c r="W1" s="7" t="inlineStr">
        <is>
          <t>Chargebee customer id</t>
        </is>
      </c>
      <c r="X1" s="7" t="inlineStr">
        <is>
          <t>MRR (USD)</t>
        </is>
      </c>
      <c r="Y1" s="7" t="inlineStr">
        <is>
          <t>Subscription status</t>
        </is>
      </c>
      <c r="Z1" s="7" t="inlineStr">
        <is>
          <t>Name source</t>
        </is>
      </c>
    </row>
    <row r="2">
      <c r="A2" s="8" t="inlineStr">
        <is>
          <t>f2930e96-c10f-4273-834d-948790dcb785</t>
        </is>
      </c>
      <c r="B2" s="8" t="inlineStr">
        <is>
          <t>Nbraidstyles</t>
        </is>
      </c>
      <c r="C2" s="23" t="n">
        <v>46052</v>
      </c>
      <c r="D2" s="8" t="inlineStr">
        <is>
          <t>2026-01</t>
        </is>
      </c>
      <c r="E2" s="8" t="b">
        <v>1</v>
      </c>
      <c r="F2" s="8" t="b">
        <v>1</v>
      </c>
      <c r="G2" s="8" t="b">
        <v>1</v>
      </c>
      <c r="H2" s="8" t="b">
        <v>1</v>
      </c>
      <c r="I2" s="8" t="b">
        <v>1</v>
      </c>
      <c r="J2" s="8" t="b">
        <v>1</v>
      </c>
      <c r="K2" s="8" t="b">
        <v>0</v>
      </c>
      <c r="L2" s="8" t="b">
        <v>1</v>
      </c>
      <c r="M2" s="8" t="b">
        <v>1</v>
      </c>
      <c r="N2" s="8" t="b">
        <v>1</v>
      </c>
      <c r="O2" s="8" t="n">
        <v>273</v>
      </c>
      <c r="P2" s="8" t="n">
        <v>73</v>
      </c>
      <c r="Q2" s="8" t="n">
        <v>0</v>
      </c>
      <c r="R2" s="8" t="n"/>
      <c r="S2" s="23" t="n">
        <v>45202</v>
      </c>
      <c r="T2" s="23" t="n">
        <v>46237</v>
      </c>
      <c r="U2" s="8" t="n">
        <v>69</v>
      </c>
      <c r="V2" s="9" t="n">
        <v>2627</v>
      </c>
      <c r="W2" s="8" t="inlineStr">
        <is>
          <t>cus_OGiPoqL0Cu6SL2</t>
        </is>
      </c>
      <c r="X2" s="9" t="n">
        <v>135</v>
      </c>
      <c r="Y2" s="8" t="inlineStr">
        <is>
          <t>active</t>
        </is>
      </c>
      <c r="Z2" s="8" t="inlineStr">
        <is>
          <t>gbp</t>
        </is>
      </c>
    </row>
    <row r="3">
      <c r="A3" s="11" t="inlineStr">
        <is>
          <t>4dd18bab-a516-46e7-a193-1eb215074802</t>
        </is>
      </c>
      <c r="B3" s="11" t="inlineStr">
        <is>
          <t>timelyAI</t>
        </is>
      </c>
      <c r="C3" s="24" t="n">
        <v>46052</v>
      </c>
      <c r="D3" s="11" t="inlineStr">
        <is>
          <t>2026-01</t>
        </is>
      </c>
      <c r="E3" s="11" t="b">
        <v>1</v>
      </c>
      <c r="F3" s="11" t="b">
        <v>1</v>
      </c>
      <c r="G3" s="11" t="b">
        <v>1</v>
      </c>
      <c r="H3" s="11" t="b">
        <v>1</v>
      </c>
      <c r="I3" s="11" t="b">
        <v>1</v>
      </c>
      <c r="J3" s="11" t="b">
        <v>1</v>
      </c>
      <c r="K3" s="11" t="b">
        <v>0</v>
      </c>
      <c r="L3" s="11" t="b">
        <v>1</v>
      </c>
      <c r="M3" s="11" t="b">
        <v>1</v>
      </c>
      <c r="N3" s="11" t="b">
        <v>1</v>
      </c>
      <c r="O3" s="11" t="n">
        <v>5</v>
      </c>
      <c r="P3" s="11" t="n">
        <v>0</v>
      </c>
      <c r="Q3" s="11" t="n">
        <v>0</v>
      </c>
      <c r="R3" s="11" t="n"/>
      <c r="S3" s="24" t="n">
        <v>46052</v>
      </c>
      <c r="T3" s="24" t="n">
        <v>46052</v>
      </c>
      <c r="U3" s="11" t="n">
        <v>1</v>
      </c>
      <c r="V3" s="12" t="n">
        <v>1.5</v>
      </c>
      <c r="W3" s="11" t="n"/>
      <c r="X3" s="12" t="n"/>
      <c r="Y3" s="11" t="n"/>
      <c r="Z3" s="11" t="inlineStr">
        <is>
          <t>gbp</t>
        </is>
      </c>
    </row>
    <row r="4">
      <c r="A4" s="8" t="inlineStr">
        <is>
          <t>0a3e4ac6-9bdb-4e76-b354-7e2f2d6bb72c</t>
        </is>
      </c>
      <c r="B4" s="8" t="inlineStr">
        <is>
          <t>Natasha super salon</t>
        </is>
      </c>
      <c r="C4" s="23" t="n">
        <v>46053</v>
      </c>
      <c r="D4" s="8" t="inlineStr">
        <is>
          <t>2026-01</t>
        </is>
      </c>
      <c r="E4" s="8" t="b">
        <v>1</v>
      </c>
      <c r="F4" s="8" t="b">
        <v>1</v>
      </c>
      <c r="G4" s="8" t="b">
        <v>0</v>
      </c>
      <c r="H4" s="8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n">
        <v>0</v>
      </c>
      <c r="P4" s="8" t="n">
        <v>0</v>
      </c>
      <c r="Q4" s="8" t="n">
        <v>0</v>
      </c>
      <c r="R4" s="8" t="n"/>
      <c r="S4" s="23" t="n"/>
      <c r="T4" s="23" t="n"/>
      <c r="U4" s="8" t="n">
        <v>0</v>
      </c>
      <c r="V4" s="9" t="n">
        <v>0</v>
      </c>
      <c r="W4" s="8" t="n"/>
      <c r="X4" s="9" t="n"/>
      <c r="Y4" s="8" t="n"/>
      <c r="Z4" s="8" t="inlineStr">
        <is>
          <t>gbp_logs</t>
        </is>
      </c>
    </row>
    <row r="5">
      <c r="A5" s="11" t="inlineStr">
        <is>
          <t>b31bc9ca-9a1c-4cb7-b76f-7621a2cc9a5c</t>
        </is>
      </c>
      <c r="B5" s="33" t="inlineStr">
        <is>
          <t>(name not on file)</t>
        </is>
      </c>
      <c r="C5" s="24" t="n">
        <v>46053</v>
      </c>
      <c r="D5" s="11" t="inlineStr">
        <is>
          <t>2026-01</t>
        </is>
      </c>
      <c r="E5" s="11" t="b">
        <v>1</v>
      </c>
      <c r="F5" s="11" t="b">
        <v>1</v>
      </c>
      <c r="G5" s="11" t="b">
        <v>0</v>
      </c>
      <c r="H5" s="11" t="b">
        <v>0</v>
      </c>
      <c r="I5" s="11" t="b">
        <v>0</v>
      </c>
      <c r="J5" s="11" t="b">
        <v>0</v>
      </c>
      <c r="K5" s="11" t="b">
        <v>0</v>
      </c>
      <c r="L5" s="11" t="b">
        <v>0</v>
      </c>
      <c r="M5" s="11" t="b">
        <v>0</v>
      </c>
      <c r="N5" s="11" t="b">
        <v>0</v>
      </c>
      <c r="O5" s="11" t="n">
        <v>0</v>
      </c>
      <c r="P5" s="11" t="n">
        <v>0</v>
      </c>
      <c r="Q5" s="11" t="n">
        <v>0</v>
      </c>
      <c r="R5" s="11" t="n"/>
      <c r="S5" s="24" t="n"/>
      <c r="T5" s="24" t="n"/>
      <c r="U5" s="11" t="n">
        <v>0</v>
      </c>
      <c r="V5" s="12" t="n">
        <v>0</v>
      </c>
      <c r="W5" s="11" t="n"/>
      <c r="X5" s="12" t="n"/>
      <c r="Y5" s="11" t="n"/>
      <c r="Z5" s="11" t="inlineStr">
        <is>
          <t>unknown</t>
        </is>
      </c>
    </row>
    <row r="6">
      <c r="A6" s="8" t="inlineStr">
        <is>
          <t>d1983fab-fb1b-43c6-af50-2e25684bdc16</t>
        </is>
      </c>
      <c r="B6" s="8" t="inlineStr">
        <is>
          <t>Natasha super salon</t>
        </is>
      </c>
      <c r="C6" s="23" t="n">
        <v>46053</v>
      </c>
      <c r="D6" s="8" t="inlineStr">
        <is>
          <t>2026-01</t>
        </is>
      </c>
      <c r="E6" s="8" t="b">
        <v>1</v>
      </c>
      <c r="F6" s="8" t="b">
        <v>1</v>
      </c>
      <c r="G6" s="8" t="b">
        <v>1</v>
      </c>
      <c r="H6" s="8" t="b">
        <v>1</v>
      </c>
      <c r="I6" s="8" t="b">
        <v>1</v>
      </c>
      <c r="J6" s="8" t="b">
        <v>0</v>
      </c>
      <c r="K6" s="8" t="b">
        <v>1</v>
      </c>
      <c r="L6" s="8" t="b">
        <v>1</v>
      </c>
      <c r="M6" s="8" t="b">
        <v>1</v>
      </c>
      <c r="N6" s="8" t="b">
        <v>1</v>
      </c>
      <c r="O6" s="8" t="n">
        <v>5</v>
      </c>
      <c r="P6" s="8" t="n">
        <v>0</v>
      </c>
      <c r="Q6" s="8" t="n">
        <v>0</v>
      </c>
      <c r="R6" s="8" t="n"/>
      <c r="S6" s="23" t="n">
        <v>46053</v>
      </c>
      <c r="T6" s="23" t="n">
        <v>46053</v>
      </c>
      <c r="U6" s="8" t="n">
        <v>0</v>
      </c>
      <c r="V6" s="9" t="n">
        <v>0</v>
      </c>
      <c r="W6" s="8" t="n"/>
      <c r="X6" s="9" t="n"/>
      <c r="Y6" s="8" t="n"/>
      <c r="Z6" s="8" t="inlineStr">
        <is>
          <t>gbp_logs</t>
        </is>
      </c>
    </row>
    <row r="7">
      <c r="A7" s="11" t="inlineStr">
        <is>
          <t>c38002b7-6d03-4e9d-9772-c8b9ef9593be</t>
        </is>
      </c>
      <c r="B7" s="33" t="inlineStr">
        <is>
          <t>(name not on file)</t>
        </is>
      </c>
      <c r="C7" s="24" t="n">
        <v>46053</v>
      </c>
      <c r="D7" s="11" t="inlineStr">
        <is>
          <t>2026-01</t>
        </is>
      </c>
      <c r="E7" s="11" t="b">
        <v>1</v>
      </c>
      <c r="F7" s="11" t="b">
        <v>1</v>
      </c>
      <c r="G7" s="11" t="b">
        <v>1</v>
      </c>
      <c r="H7" s="11" t="b">
        <v>1</v>
      </c>
      <c r="I7" s="11" t="b">
        <v>1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n">
        <v>0</v>
      </c>
      <c r="P7" s="11" t="n">
        <v>0</v>
      </c>
      <c r="Q7" s="11" t="n">
        <v>0</v>
      </c>
      <c r="R7" s="11" t="n"/>
      <c r="S7" s="24" t="n"/>
      <c r="T7" s="24" t="n"/>
      <c r="U7" s="11" t="n">
        <v>0</v>
      </c>
      <c r="V7" s="12" t="n">
        <v>0</v>
      </c>
      <c r="W7" s="11" t="n"/>
      <c r="X7" s="12" t="n"/>
      <c r="Y7" s="11" t="n"/>
      <c r="Z7" s="11" t="inlineStr">
        <is>
          <t>unknown</t>
        </is>
      </c>
    </row>
    <row r="8">
      <c r="A8" s="8" t="inlineStr">
        <is>
          <t>61bcfc8a-d56d-4b46-a4a3-658ce60aa48f</t>
        </is>
      </c>
      <c r="B8" s="8" t="inlineStr">
        <is>
          <t>Natasha super salon</t>
        </is>
      </c>
      <c r="C8" s="23" t="n">
        <v>46053</v>
      </c>
      <c r="D8" s="8" t="inlineStr">
        <is>
          <t>2026-01</t>
        </is>
      </c>
      <c r="E8" s="8" t="b">
        <v>1</v>
      </c>
      <c r="F8" s="8" t="b">
        <v>1</v>
      </c>
      <c r="G8" s="8" t="b">
        <v>1</v>
      </c>
      <c r="H8" s="8" t="b">
        <v>1</v>
      </c>
      <c r="I8" s="8" t="b">
        <v>1</v>
      </c>
      <c r="J8" s="8" t="b">
        <v>0</v>
      </c>
      <c r="K8" s="8" t="b">
        <v>1</v>
      </c>
      <c r="L8" s="8" t="b">
        <v>1</v>
      </c>
      <c r="M8" s="8" t="b">
        <v>1</v>
      </c>
      <c r="N8" s="8" t="b">
        <v>1</v>
      </c>
      <c r="O8" s="8" t="n">
        <v>3</v>
      </c>
      <c r="P8" s="8" t="n">
        <v>0</v>
      </c>
      <c r="Q8" s="8" t="n">
        <v>0</v>
      </c>
      <c r="R8" s="8" t="n"/>
      <c r="S8" s="23" t="n">
        <v>46053</v>
      </c>
      <c r="T8" s="23" t="n">
        <v>46055</v>
      </c>
      <c r="U8" s="8" t="n">
        <v>0</v>
      </c>
      <c r="V8" s="9" t="n">
        <v>0</v>
      </c>
      <c r="W8" s="8" t="n"/>
      <c r="X8" s="9" t="n"/>
      <c r="Y8" s="8" t="n"/>
      <c r="Z8" s="8" t="inlineStr">
        <is>
          <t>gbp_logs</t>
        </is>
      </c>
    </row>
    <row r="9">
      <c r="A9" s="11" t="inlineStr">
        <is>
          <t>06055989-747f-477b-9e4f-36849d39a605</t>
        </is>
      </c>
      <c r="B9" s="33" t="inlineStr">
        <is>
          <t>(name not on file)</t>
        </is>
      </c>
      <c r="C9" s="24" t="n">
        <v>46053</v>
      </c>
      <c r="D9" s="11" t="inlineStr">
        <is>
          <t>2026-01</t>
        </is>
      </c>
      <c r="E9" s="11" t="b">
        <v>1</v>
      </c>
      <c r="F9" s="11" t="b">
        <v>1</v>
      </c>
      <c r="G9" s="11" t="b">
        <v>1</v>
      </c>
      <c r="H9" s="11" t="b">
        <v>1</v>
      </c>
      <c r="I9" s="11" t="b">
        <v>1</v>
      </c>
      <c r="J9" s="11" t="b">
        <v>0</v>
      </c>
      <c r="K9" s="11" t="b">
        <v>1</v>
      </c>
      <c r="L9" s="11" t="b">
        <v>1</v>
      </c>
      <c r="M9" s="11" t="b">
        <v>0</v>
      </c>
      <c r="N9" s="11" t="b">
        <v>0</v>
      </c>
      <c r="O9" s="11" t="n">
        <v>0</v>
      </c>
      <c r="P9" s="11" t="n">
        <v>0</v>
      </c>
      <c r="Q9" s="11" t="n">
        <v>0</v>
      </c>
      <c r="R9" s="11" t="n"/>
      <c r="S9" s="24" t="n"/>
      <c r="T9" s="24" t="n"/>
      <c r="U9" s="11" t="n">
        <v>0</v>
      </c>
      <c r="V9" s="12" t="n">
        <v>0</v>
      </c>
      <c r="W9" s="11" t="n"/>
      <c r="X9" s="12" t="n"/>
      <c r="Y9" s="11" t="n"/>
      <c r="Z9" s="11" t="inlineStr">
        <is>
          <t>unknown</t>
        </is>
      </c>
    </row>
    <row r="10">
      <c r="A10" s="8" t="inlineStr">
        <is>
          <t>29021b0b-4156-4d36-b27e-3ae09ac17ce9</t>
        </is>
      </c>
      <c r="B10" s="8" t="inlineStr">
        <is>
          <t>Doom Salon</t>
        </is>
      </c>
      <c r="C10" s="23" t="n">
        <v>46053</v>
      </c>
      <c r="D10" s="8" t="inlineStr">
        <is>
          <t>2026-01</t>
        </is>
      </c>
      <c r="E10" s="8" t="b">
        <v>1</v>
      </c>
      <c r="F10" s="8" t="b">
        <v>1</v>
      </c>
      <c r="G10" s="8" t="b">
        <v>1</v>
      </c>
      <c r="H10" s="8" t="b">
        <v>1</v>
      </c>
      <c r="I10" s="8" t="b">
        <v>1</v>
      </c>
      <c r="J10" s="8" t="b">
        <v>0</v>
      </c>
      <c r="K10" s="8" t="b">
        <v>1</v>
      </c>
      <c r="L10" s="8" t="b">
        <v>1</v>
      </c>
      <c r="M10" s="8" t="b">
        <v>1</v>
      </c>
      <c r="N10" s="8" t="b">
        <v>1</v>
      </c>
      <c r="O10" s="8" t="n">
        <v>5</v>
      </c>
      <c r="P10" s="8" t="n">
        <v>3</v>
      </c>
      <c r="Q10" s="8" t="n">
        <v>0</v>
      </c>
      <c r="R10" s="8" t="n"/>
      <c r="S10" s="23" t="n">
        <v>46053</v>
      </c>
      <c r="T10" s="23" t="n">
        <v>46055</v>
      </c>
      <c r="U10" s="8" t="n">
        <v>0</v>
      </c>
      <c r="V10" s="9" t="n">
        <v>0</v>
      </c>
      <c r="W10" s="8" t="n"/>
      <c r="X10" s="9" t="n"/>
      <c r="Y10" s="8" t="n"/>
      <c r="Z10" s="8" t="inlineStr">
        <is>
          <t>gbp_logs</t>
        </is>
      </c>
    </row>
    <row r="11">
      <c r="A11" s="11" t="inlineStr">
        <is>
          <t>4c62f8a6-fffd-45fa-9c24-410228f4c0eb</t>
        </is>
      </c>
      <c r="B11" s="11" t="inlineStr">
        <is>
          <t>Beauty and a Beast Salon</t>
        </is>
      </c>
      <c r="C11" s="24" t="n">
        <v>46053</v>
      </c>
      <c r="D11" s="11" t="inlineStr">
        <is>
          <t>2026-01</t>
        </is>
      </c>
      <c r="E11" s="11" t="b">
        <v>1</v>
      </c>
      <c r="F11" s="11" t="b">
        <v>1</v>
      </c>
      <c r="G11" s="11" t="b">
        <v>1</v>
      </c>
      <c r="H11" s="11" t="b">
        <v>1</v>
      </c>
      <c r="I11" s="11" t="b">
        <v>1</v>
      </c>
      <c r="J11" s="11" t="b">
        <v>1</v>
      </c>
      <c r="K11" s="11" t="b">
        <v>1</v>
      </c>
      <c r="L11" s="11" t="b">
        <v>1</v>
      </c>
      <c r="M11" s="11" t="b">
        <v>1</v>
      </c>
      <c r="N11" s="11" t="b">
        <v>1</v>
      </c>
      <c r="O11" s="11" t="n">
        <v>13</v>
      </c>
      <c r="P11" s="11" t="n">
        <v>3</v>
      </c>
      <c r="Q11" s="11" t="n">
        <v>0</v>
      </c>
      <c r="R11" s="11" t="n"/>
      <c r="S11" s="24" t="n">
        <v>46053</v>
      </c>
      <c r="T11" s="24" t="n">
        <v>46055</v>
      </c>
      <c r="U11" s="11" t="n">
        <v>2</v>
      </c>
      <c r="V11" s="12" t="n">
        <v>4881.25</v>
      </c>
      <c r="W11" s="11" t="n"/>
      <c r="X11" s="12" t="n"/>
      <c r="Y11" s="11" t="n"/>
      <c r="Z11" s="11" t="inlineStr">
        <is>
          <t>gbp_logs</t>
        </is>
      </c>
    </row>
    <row r="12">
      <c r="A12" s="8" t="inlineStr">
        <is>
          <t>90d177ff-eef3-48f8-b56c-3bdaf1d1b431</t>
        </is>
      </c>
      <c r="B12" s="8" t="inlineStr">
        <is>
          <t>Saxena's spa</t>
        </is>
      </c>
      <c r="C12" s="23" t="n">
        <v>46055</v>
      </c>
      <c r="D12" s="8" t="inlineStr">
        <is>
          <t>2026-02</t>
        </is>
      </c>
      <c r="E12" s="8" t="b">
        <v>1</v>
      </c>
      <c r="F12" s="8" t="b">
        <v>1</v>
      </c>
      <c r="G12" s="8" t="b">
        <v>0</v>
      </c>
      <c r="H12" s="8" t="b">
        <v>0</v>
      </c>
      <c r="I12" s="8" t="b">
        <v>0</v>
      </c>
      <c r="J12" s="8" t="b">
        <v>0</v>
      </c>
      <c r="K12" s="8" t="b">
        <v>0</v>
      </c>
      <c r="L12" s="8" t="b">
        <v>0</v>
      </c>
      <c r="M12" s="8" t="b">
        <v>0</v>
      </c>
      <c r="N12" s="8" t="b">
        <v>0</v>
      </c>
      <c r="O12" s="8" t="n">
        <v>0</v>
      </c>
      <c r="P12" s="8" t="n">
        <v>0</v>
      </c>
      <c r="Q12" s="8" t="n">
        <v>0</v>
      </c>
      <c r="R12" s="8" t="n"/>
      <c r="S12" s="23" t="n"/>
      <c r="T12" s="23" t="n"/>
      <c r="U12" s="8" t="n">
        <v>0</v>
      </c>
      <c r="V12" s="9" t="n">
        <v>0</v>
      </c>
      <c r="W12" s="8" t="n"/>
      <c r="X12" s="9" t="n"/>
      <c r="Y12" s="8" t="n"/>
      <c r="Z12" s="8" t="inlineStr">
        <is>
          <t>gbp_logs</t>
        </is>
      </c>
    </row>
    <row r="13">
      <c r="A13" s="11" t="inlineStr">
        <is>
          <t>07233b3c-c922-40a7-8ac3-e57986ffb675</t>
        </is>
      </c>
      <c r="B13" s="11" t="inlineStr">
        <is>
          <t>Natasha super salon</t>
        </is>
      </c>
      <c r="C13" s="24" t="n">
        <v>46055</v>
      </c>
      <c r="D13" s="11" t="inlineStr">
        <is>
          <t>2026-02</t>
        </is>
      </c>
      <c r="E13" s="11" t="b">
        <v>1</v>
      </c>
      <c r="F13" s="11" t="b">
        <v>1</v>
      </c>
      <c r="G13" s="11" t="b">
        <v>1</v>
      </c>
      <c r="H13" s="11" t="b">
        <v>1</v>
      </c>
      <c r="I13" s="11" t="b">
        <v>1</v>
      </c>
      <c r="J13" s="11" t="b">
        <v>0</v>
      </c>
      <c r="K13" s="11" t="b">
        <v>1</v>
      </c>
      <c r="L13" s="11" t="b">
        <v>1</v>
      </c>
      <c r="M13" s="11" t="b">
        <v>1</v>
      </c>
      <c r="N13" s="11" t="b">
        <v>1</v>
      </c>
      <c r="O13" s="11" t="n">
        <v>17</v>
      </c>
      <c r="P13" s="11" t="n">
        <v>9</v>
      </c>
      <c r="Q13" s="11" t="n">
        <v>0</v>
      </c>
      <c r="R13" s="11" t="n"/>
      <c r="S13" s="24" t="n">
        <v>46055</v>
      </c>
      <c r="T13" s="24" t="n">
        <v>46056</v>
      </c>
      <c r="U13" s="11" t="n">
        <v>0</v>
      </c>
      <c r="V13" s="12" t="n">
        <v>0</v>
      </c>
      <c r="W13" s="11" t="n"/>
      <c r="X13" s="12" t="n"/>
      <c r="Y13" s="11" t="n"/>
      <c r="Z13" s="11" t="inlineStr">
        <is>
          <t>gbp_logs</t>
        </is>
      </c>
    </row>
    <row r="14">
      <c r="A14" s="8" t="inlineStr">
        <is>
          <t>ca0b1b82-9b25-4c51-9ab5-65575cee49c4</t>
        </is>
      </c>
      <c r="B14" s="34" t="inlineStr">
        <is>
          <t>(name not on file)</t>
        </is>
      </c>
      <c r="C14" s="23" t="n">
        <v>46055</v>
      </c>
      <c r="D14" s="8" t="inlineStr">
        <is>
          <t>2026-02</t>
        </is>
      </c>
      <c r="E14" s="8" t="b">
        <v>1</v>
      </c>
      <c r="F14" s="8" t="b">
        <v>1</v>
      </c>
      <c r="G14" s="8" t="b">
        <v>1</v>
      </c>
      <c r="H14" s="8" t="b">
        <v>1</v>
      </c>
      <c r="I14" s="8" t="b">
        <v>1</v>
      </c>
      <c r="J14" s="8" t="b">
        <v>0</v>
      </c>
      <c r="K14" s="8" t="b">
        <v>1</v>
      </c>
      <c r="L14" s="8" t="b">
        <v>1</v>
      </c>
      <c r="M14" s="8" t="b">
        <v>1</v>
      </c>
      <c r="N14" s="8" t="b">
        <v>1</v>
      </c>
      <c r="O14" s="8" t="n">
        <v>0</v>
      </c>
      <c r="P14" s="8" t="n">
        <v>0</v>
      </c>
      <c r="Q14" s="8" t="n">
        <v>0</v>
      </c>
      <c r="R14" s="8" t="n"/>
      <c r="S14" s="23" t="n"/>
      <c r="T14" s="23" t="n"/>
      <c r="U14" s="8" t="n">
        <v>0</v>
      </c>
      <c r="V14" s="9" t="n">
        <v>0</v>
      </c>
      <c r="W14" s="8" t="n"/>
      <c r="X14" s="9" t="n"/>
      <c r="Y14" s="8" t="n"/>
      <c r="Z14" s="8" t="inlineStr">
        <is>
          <t>unknown</t>
        </is>
      </c>
    </row>
    <row r="15">
      <c r="A15" s="11" t="inlineStr">
        <is>
          <t>0f95c289-b0a7-4149-97be-2f0e3782cf2c</t>
        </is>
      </c>
      <c r="B15" s="11" t="inlineStr">
        <is>
          <t>Shine Salon &amp; Spa</t>
        </is>
      </c>
      <c r="C15" s="24" t="n">
        <v>46055</v>
      </c>
      <c r="D15" s="11" t="inlineStr">
        <is>
          <t>2026-02</t>
        </is>
      </c>
      <c r="E15" s="11" t="b">
        <v>1</v>
      </c>
      <c r="F15" s="11" t="b">
        <v>1</v>
      </c>
      <c r="G15" s="11" t="b">
        <v>1</v>
      </c>
      <c r="H15" s="11" t="b">
        <v>1</v>
      </c>
      <c r="I15" s="11" t="b">
        <v>1</v>
      </c>
      <c r="J15" s="11" t="b">
        <v>0</v>
      </c>
      <c r="K15" s="11" t="b">
        <v>1</v>
      </c>
      <c r="L15" s="11" t="b">
        <v>1</v>
      </c>
      <c r="M15" s="11" t="b">
        <v>1</v>
      </c>
      <c r="N15" s="11" t="b">
        <v>1</v>
      </c>
      <c r="O15" s="11" t="n">
        <v>54</v>
      </c>
      <c r="P15" s="11" t="n">
        <v>17</v>
      </c>
      <c r="Q15" s="11" t="n">
        <v>0</v>
      </c>
      <c r="R15" s="11" t="n"/>
      <c r="S15" s="24" t="n">
        <v>46055</v>
      </c>
      <c r="T15" s="24" t="n">
        <v>46058</v>
      </c>
      <c r="U15" s="11" t="n">
        <v>39</v>
      </c>
      <c r="V15" s="12" t="n">
        <v>58</v>
      </c>
      <c r="W15" s="11" t="n"/>
      <c r="X15" s="12" t="n"/>
      <c r="Y15" s="11" t="n"/>
      <c r="Z15" s="11" t="inlineStr">
        <is>
          <t>gbp_logs</t>
        </is>
      </c>
    </row>
    <row r="16">
      <c r="A16" s="8" t="inlineStr">
        <is>
          <t>e85a1d81-1a0f-41e6-b286-c358d63f8251</t>
        </is>
      </c>
      <c r="B16" s="34" t="inlineStr">
        <is>
          <t>(name not on file)</t>
        </is>
      </c>
      <c r="C16" s="23" t="n">
        <v>46055</v>
      </c>
      <c r="D16" s="8" t="inlineStr">
        <is>
          <t>2026-02</t>
        </is>
      </c>
      <c r="E16" s="8" t="b">
        <v>1</v>
      </c>
      <c r="F16" s="8" t="b">
        <v>0</v>
      </c>
      <c r="G16" s="8" t="b">
        <v>0</v>
      </c>
      <c r="H16" s="8" t="b">
        <v>0</v>
      </c>
      <c r="I16" s="8" t="b">
        <v>0</v>
      </c>
      <c r="J16" s="8" t="b">
        <v>0</v>
      </c>
      <c r="K16" s="8" t="b">
        <v>0</v>
      </c>
      <c r="L16" s="8" t="b">
        <v>0</v>
      </c>
      <c r="M16" s="8" t="b">
        <v>0</v>
      </c>
      <c r="N16" s="8" t="b">
        <v>0</v>
      </c>
      <c r="O16" s="8" t="n">
        <v>0</v>
      </c>
      <c r="P16" s="8" t="n">
        <v>0</v>
      </c>
      <c r="Q16" s="8" t="n">
        <v>0</v>
      </c>
      <c r="R16" s="8" t="n"/>
      <c r="S16" s="23" t="n"/>
      <c r="T16" s="23" t="n"/>
      <c r="U16" s="8" t="n">
        <v>0</v>
      </c>
      <c r="V16" s="9" t="n">
        <v>0</v>
      </c>
      <c r="W16" s="8" t="n"/>
      <c r="X16" s="9" t="n"/>
      <c r="Y16" s="8" t="n"/>
      <c r="Z16" s="8" t="inlineStr">
        <is>
          <t>unknown</t>
        </is>
      </c>
    </row>
    <row r="17">
      <c r="A17" s="11" t="inlineStr">
        <is>
          <t>140217cf-0058-4d4c-8814-0235ee218898</t>
        </is>
      </c>
      <c r="B17" s="11" t="inlineStr">
        <is>
          <t>Shine Salon &amp; Spa - Hair, Skin, Nails, Massage</t>
        </is>
      </c>
      <c r="C17" s="24" t="n">
        <v>46055</v>
      </c>
      <c r="D17" s="11" t="inlineStr">
        <is>
          <t>2026-02</t>
        </is>
      </c>
      <c r="E17" s="11" t="b">
        <v>1</v>
      </c>
      <c r="F17" s="11" t="b">
        <v>1</v>
      </c>
      <c r="G17" s="11" t="b">
        <v>1</v>
      </c>
      <c r="H17" s="11" t="b">
        <v>1</v>
      </c>
      <c r="I17" s="11" t="b">
        <v>1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n">
        <v>0</v>
      </c>
      <c r="P17" s="11" t="n">
        <v>0</v>
      </c>
      <c r="Q17" s="11" t="n">
        <v>0</v>
      </c>
      <c r="R17" s="11" t="n"/>
      <c r="S17" s="24" t="n"/>
      <c r="T17" s="24" t="n"/>
      <c r="U17" s="11" t="n">
        <v>0</v>
      </c>
      <c r="V17" s="12" t="n">
        <v>0</v>
      </c>
      <c r="W17" s="11" t="n"/>
      <c r="X17" s="12" t="n"/>
      <c r="Y17" s="11" t="n"/>
      <c r="Z17" s="11" t="inlineStr">
        <is>
          <t>gbp</t>
        </is>
      </c>
    </row>
    <row r="18">
      <c r="A18" s="8" t="inlineStr">
        <is>
          <t>736264eb-3de6-49d0-a1fb-6706edc2ac61</t>
        </is>
      </c>
      <c r="B18" s="8" t="inlineStr">
        <is>
          <t>Creations Art and Beauty</t>
        </is>
      </c>
      <c r="C18" s="23" t="n">
        <v>46055</v>
      </c>
      <c r="D18" s="8" t="inlineStr">
        <is>
          <t>2026-02</t>
        </is>
      </c>
      <c r="E18" s="8" t="b">
        <v>1</v>
      </c>
      <c r="F18" s="8" t="b">
        <v>1</v>
      </c>
      <c r="G18" s="8" t="b">
        <v>1</v>
      </c>
      <c r="H18" s="8" t="b">
        <v>1</v>
      </c>
      <c r="I18" s="8" t="b">
        <v>1</v>
      </c>
      <c r="J18" s="8" t="b">
        <v>1</v>
      </c>
      <c r="K18" s="8" t="b">
        <v>0</v>
      </c>
      <c r="L18" s="8" t="b">
        <v>1</v>
      </c>
      <c r="M18" s="8" t="b">
        <v>1</v>
      </c>
      <c r="N18" s="8" t="b">
        <v>1</v>
      </c>
      <c r="O18" s="8" t="n">
        <v>23</v>
      </c>
      <c r="P18" s="8" t="n">
        <v>12</v>
      </c>
      <c r="Q18" s="8" t="n">
        <v>0</v>
      </c>
      <c r="R18" s="8" t="n"/>
      <c r="S18" s="23" t="n">
        <v>46055</v>
      </c>
      <c r="T18" s="23" t="n">
        <v>46233</v>
      </c>
      <c r="U18" s="8" t="n">
        <v>1</v>
      </c>
      <c r="V18" s="9" t="n">
        <v>1.4</v>
      </c>
      <c r="W18" s="8" t="inlineStr">
        <is>
          <t>AzqhpEUzYFk7hC0ut</t>
        </is>
      </c>
      <c r="X18" s="9" t="n">
        <v>350</v>
      </c>
      <c r="Y18" s="8" t="inlineStr">
        <is>
          <t>active</t>
        </is>
      </c>
      <c r="Z18" s="8" t="inlineStr">
        <is>
          <t>gbp</t>
        </is>
      </c>
    </row>
    <row r="19">
      <c r="A19" s="11" t="inlineStr">
        <is>
          <t>27022460-a4b6-4090-b990-c97c73a8f56a</t>
        </is>
      </c>
      <c r="B19" s="11" t="inlineStr">
        <is>
          <t>Alia Bhat Makeup</t>
        </is>
      </c>
      <c r="C19" s="24" t="n">
        <v>46056</v>
      </c>
      <c r="D19" s="11" t="inlineStr">
        <is>
          <t>2026-02</t>
        </is>
      </c>
      <c r="E19" s="11" t="b">
        <v>1</v>
      </c>
      <c r="F19" s="11" t="b">
        <v>1</v>
      </c>
      <c r="G19" s="11" t="b">
        <v>1</v>
      </c>
      <c r="H19" s="11" t="b">
        <v>1</v>
      </c>
      <c r="I19" s="11" t="b">
        <v>1</v>
      </c>
      <c r="J19" s="11" t="b">
        <v>0</v>
      </c>
      <c r="K19" s="11" t="b">
        <v>1</v>
      </c>
      <c r="L19" s="11" t="b">
        <v>1</v>
      </c>
      <c r="M19" s="11" t="b">
        <v>1</v>
      </c>
      <c r="N19" s="11" t="b">
        <v>1</v>
      </c>
      <c r="O19" s="11" t="n">
        <v>19</v>
      </c>
      <c r="P19" s="11" t="n">
        <v>9</v>
      </c>
      <c r="Q19" s="11" t="n">
        <v>0</v>
      </c>
      <c r="R19" s="11" t="n"/>
      <c r="S19" s="24" t="n">
        <v>46056</v>
      </c>
      <c r="T19" s="24" t="n">
        <v>46057</v>
      </c>
      <c r="U19" s="11" t="n">
        <v>0</v>
      </c>
      <c r="V19" s="12" t="n">
        <v>0</v>
      </c>
      <c r="W19" s="11" t="n"/>
      <c r="X19" s="12" t="n"/>
      <c r="Y19" s="11" t="n"/>
      <c r="Z19" s="11" t="inlineStr">
        <is>
          <t>gbp_logs</t>
        </is>
      </c>
    </row>
    <row r="20">
      <c r="A20" s="8" t="inlineStr">
        <is>
          <t>410b7b26-6680-425d-8f37-642290a08d52</t>
        </is>
      </c>
      <c r="B20" s="8" t="inlineStr">
        <is>
          <t>Natasha super salon</t>
        </is>
      </c>
      <c r="C20" s="23" t="n">
        <v>46056</v>
      </c>
      <c r="D20" s="8" t="inlineStr">
        <is>
          <t>2026-02</t>
        </is>
      </c>
      <c r="E20" s="8" t="b">
        <v>1</v>
      </c>
      <c r="F20" s="8" t="b">
        <v>1</v>
      </c>
      <c r="G20" s="8" t="b">
        <v>1</v>
      </c>
      <c r="H20" s="8" t="b">
        <v>1</v>
      </c>
      <c r="I20" s="8" t="b">
        <v>1</v>
      </c>
      <c r="J20" s="8" t="b">
        <v>0</v>
      </c>
      <c r="K20" s="8" t="b">
        <v>1</v>
      </c>
      <c r="L20" s="8" t="b">
        <v>1</v>
      </c>
      <c r="M20" s="8" t="b">
        <v>1</v>
      </c>
      <c r="N20" s="8" t="b">
        <v>1</v>
      </c>
      <c r="O20" s="8" t="n">
        <v>14</v>
      </c>
      <c r="P20" s="8" t="n">
        <v>8</v>
      </c>
      <c r="Q20" s="8" t="n">
        <v>0</v>
      </c>
      <c r="R20" s="8" t="n"/>
      <c r="S20" s="23" t="n">
        <v>46056</v>
      </c>
      <c r="T20" s="23" t="n">
        <v>46057</v>
      </c>
      <c r="U20" s="8" t="n">
        <v>0</v>
      </c>
      <c r="V20" s="9" t="n">
        <v>0</v>
      </c>
      <c r="W20" s="8" t="n"/>
      <c r="X20" s="9" t="n"/>
      <c r="Y20" s="8" t="n"/>
      <c r="Z20" s="8" t="inlineStr">
        <is>
          <t>gbp_logs</t>
        </is>
      </c>
    </row>
    <row r="21">
      <c r="A21" s="11" t="inlineStr">
        <is>
          <t>5b860bec-4d4b-44d0-b44c-1d70e53990f5</t>
        </is>
      </c>
      <c r="B21" s="33" t="inlineStr">
        <is>
          <t>(name not on file)</t>
        </is>
      </c>
      <c r="C21" s="24" t="n">
        <v>46056</v>
      </c>
      <c r="D21" s="11" t="inlineStr">
        <is>
          <t>2026-02</t>
        </is>
      </c>
      <c r="E21" s="11" t="b">
        <v>1</v>
      </c>
      <c r="F21" s="11" t="b">
        <v>1</v>
      </c>
      <c r="G21" s="11" t="b">
        <v>1</v>
      </c>
      <c r="H21" s="11" t="b">
        <v>1</v>
      </c>
      <c r="I21" s="11" t="b">
        <v>1</v>
      </c>
      <c r="J21" s="11" t="b">
        <v>0</v>
      </c>
      <c r="K21" s="11" t="b">
        <v>1</v>
      </c>
      <c r="L21" s="11" t="b">
        <v>1</v>
      </c>
      <c r="M21" s="11" t="b">
        <v>1</v>
      </c>
      <c r="N21" s="11" t="b">
        <v>1</v>
      </c>
      <c r="O21" s="11" t="n">
        <v>0</v>
      </c>
      <c r="P21" s="11" t="n">
        <v>0</v>
      </c>
      <c r="Q21" s="11" t="n">
        <v>0</v>
      </c>
      <c r="R21" s="11" t="n"/>
      <c r="S21" s="24" t="n"/>
      <c r="T21" s="24" t="n"/>
      <c r="U21" s="11" t="n">
        <v>0</v>
      </c>
      <c r="V21" s="12" t="n">
        <v>0</v>
      </c>
      <c r="W21" s="11" t="n"/>
      <c r="X21" s="12" t="n"/>
      <c r="Y21" s="11" t="n"/>
      <c r="Z21" s="11" t="inlineStr">
        <is>
          <t>unknown</t>
        </is>
      </c>
    </row>
    <row r="22">
      <c r="A22" s="8" t="inlineStr">
        <is>
          <t>9cde7f89-b4bd-4bf0-a467-27a8be0e059a</t>
        </is>
      </c>
      <c r="B22" s="8" t="inlineStr">
        <is>
          <t>Sylph Salon</t>
        </is>
      </c>
      <c r="C22" s="23" t="n">
        <v>46056</v>
      </c>
      <c r="D22" s="8" t="inlineStr">
        <is>
          <t>2026-02</t>
        </is>
      </c>
      <c r="E22" s="8" t="b">
        <v>1</v>
      </c>
      <c r="F22" s="8" t="b">
        <v>1</v>
      </c>
      <c r="G22" s="8" t="b">
        <v>1</v>
      </c>
      <c r="H22" s="8" t="b">
        <v>1</v>
      </c>
      <c r="I22" s="8" t="b">
        <v>1</v>
      </c>
      <c r="J22" s="8" t="b">
        <v>0</v>
      </c>
      <c r="K22" s="8" t="b">
        <v>1</v>
      </c>
      <c r="L22" s="8" t="b">
        <v>1</v>
      </c>
      <c r="M22" s="8" t="b">
        <v>1</v>
      </c>
      <c r="N22" s="8" t="b">
        <v>1</v>
      </c>
      <c r="O22" s="8" t="n">
        <v>3</v>
      </c>
      <c r="P22" s="8" t="n">
        <v>2</v>
      </c>
      <c r="Q22" s="8" t="n">
        <v>0</v>
      </c>
      <c r="R22" s="8" t="n"/>
      <c r="S22" s="23" t="n">
        <v>46056</v>
      </c>
      <c r="T22" s="23" t="n">
        <v>46056</v>
      </c>
      <c r="U22" s="8" t="n">
        <v>0</v>
      </c>
      <c r="V22" s="9" t="n">
        <v>0</v>
      </c>
      <c r="W22" s="8" t="n"/>
      <c r="X22" s="9" t="n"/>
      <c r="Y22" s="8" t="n"/>
      <c r="Z22" s="8" t="inlineStr">
        <is>
          <t>gbp_logs</t>
        </is>
      </c>
    </row>
    <row r="23">
      <c r="A23" s="11" t="inlineStr">
        <is>
          <t>0ca958cd-28a7-4da9-b78f-b36897268677</t>
        </is>
      </c>
      <c r="B23" s="11" t="inlineStr">
        <is>
          <t>Superb Salon &amp; Spa</t>
        </is>
      </c>
      <c r="C23" s="24" t="n">
        <v>46056</v>
      </c>
      <c r="D23" s="11" t="inlineStr">
        <is>
          <t>2026-02</t>
        </is>
      </c>
      <c r="E23" s="11" t="b">
        <v>1</v>
      </c>
      <c r="F23" s="11" t="b">
        <v>1</v>
      </c>
      <c r="G23" s="11" t="b">
        <v>1</v>
      </c>
      <c r="H23" s="11" t="b">
        <v>1</v>
      </c>
      <c r="I23" s="11" t="b">
        <v>1</v>
      </c>
      <c r="J23" s="11" t="b">
        <v>0</v>
      </c>
      <c r="K23" s="11" t="b">
        <v>1</v>
      </c>
      <c r="L23" s="11" t="b">
        <v>1</v>
      </c>
      <c r="M23" s="11" t="b">
        <v>1</v>
      </c>
      <c r="N23" s="11" t="b">
        <v>1</v>
      </c>
      <c r="O23" s="11" t="n">
        <v>12</v>
      </c>
      <c r="P23" s="11" t="n">
        <v>10</v>
      </c>
      <c r="Q23" s="11" t="n">
        <v>0</v>
      </c>
      <c r="R23" s="11" t="n"/>
      <c r="S23" s="24" t="n">
        <v>46056</v>
      </c>
      <c r="T23" s="24" t="n">
        <v>46057</v>
      </c>
      <c r="U23" s="11" t="n">
        <v>0</v>
      </c>
      <c r="V23" s="12" t="n">
        <v>0</v>
      </c>
      <c r="W23" s="11" t="n"/>
      <c r="X23" s="12" t="n"/>
      <c r="Y23" s="11" t="n"/>
      <c r="Z23" s="11" t="inlineStr">
        <is>
          <t>gbp_logs</t>
        </is>
      </c>
    </row>
    <row r="24">
      <c r="A24" s="8" t="inlineStr">
        <is>
          <t>37aef7c8-89d0-477a-8929-604d5927322c</t>
        </is>
      </c>
      <c r="B24" s="8" t="inlineStr">
        <is>
          <t>Glamour Salon &amp; Spa</t>
        </is>
      </c>
      <c r="C24" s="23" t="n">
        <v>46056</v>
      </c>
      <c r="D24" s="8" t="inlineStr">
        <is>
          <t>2026-02</t>
        </is>
      </c>
      <c r="E24" s="8" t="b">
        <v>1</v>
      </c>
      <c r="F24" s="8" t="b">
        <v>1</v>
      </c>
      <c r="G24" s="8" t="b">
        <v>1</v>
      </c>
      <c r="H24" s="8" t="b">
        <v>1</v>
      </c>
      <c r="I24" s="8" t="b">
        <v>1</v>
      </c>
      <c r="J24" s="8" t="b">
        <v>0</v>
      </c>
      <c r="K24" s="8" t="b">
        <v>1</v>
      </c>
      <c r="L24" s="8" t="b">
        <v>1</v>
      </c>
      <c r="M24" s="8" t="b">
        <v>1</v>
      </c>
      <c r="N24" s="8" t="b">
        <v>1</v>
      </c>
      <c r="O24" s="8" t="n">
        <v>7</v>
      </c>
      <c r="P24" s="8" t="n">
        <v>4</v>
      </c>
      <c r="Q24" s="8" t="n">
        <v>0</v>
      </c>
      <c r="R24" s="8" t="n"/>
      <c r="S24" s="23" t="n">
        <v>46069</v>
      </c>
      <c r="T24" s="23" t="n">
        <v>46136</v>
      </c>
      <c r="U24" s="8" t="n">
        <v>0</v>
      </c>
      <c r="V24" s="9" t="n">
        <v>0</v>
      </c>
      <c r="W24" s="8" t="n"/>
      <c r="X24" s="9" t="n"/>
      <c r="Y24" s="8" t="n"/>
      <c r="Z24" s="8" t="inlineStr">
        <is>
          <t>gbp_logs</t>
        </is>
      </c>
    </row>
    <row r="25">
      <c r="A25" s="11" t="inlineStr">
        <is>
          <t>46013d86-0ba6-4350-a1f0-d604a85a56a7</t>
        </is>
      </c>
      <c r="B25" s="11" t="inlineStr">
        <is>
          <t>Sunny Spa</t>
        </is>
      </c>
      <c r="C25" s="24" t="n">
        <v>46056</v>
      </c>
      <c r="D25" s="11" t="inlineStr">
        <is>
          <t>2026-02</t>
        </is>
      </c>
      <c r="E25" s="11" t="b">
        <v>1</v>
      </c>
      <c r="F25" s="11" t="b">
        <v>1</v>
      </c>
      <c r="G25" s="11" t="b">
        <v>1</v>
      </c>
      <c r="H25" s="11" t="b">
        <v>1</v>
      </c>
      <c r="I25" s="11" t="b">
        <v>1</v>
      </c>
      <c r="J25" s="11" t="b">
        <v>1</v>
      </c>
      <c r="K25" s="11" t="b">
        <v>0</v>
      </c>
      <c r="L25" s="11" t="b">
        <v>1</v>
      </c>
      <c r="M25" s="11" t="b">
        <v>1</v>
      </c>
      <c r="N25" s="11" t="b">
        <v>1</v>
      </c>
      <c r="O25" s="11" t="n">
        <v>8</v>
      </c>
      <c r="P25" s="11" t="n">
        <v>7</v>
      </c>
      <c r="Q25" s="11" t="n">
        <v>0</v>
      </c>
      <c r="R25" s="11" t="n"/>
      <c r="S25" s="24" t="n">
        <v>46056</v>
      </c>
      <c r="T25" s="24" t="n">
        <v>46103</v>
      </c>
      <c r="U25" s="11" t="n">
        <v>0</v>
      </c>
      <c r="V25" s="12" t="n">
        <v>0</v>
      </c>
      <c r="W25" s="11" t="n"/>
      <c r="X25" s="12" t="n"/>
      <c r="Y25" s="11" t="n"/>
      <c r="Z25" s="11" t="inlineStr">
        <is>
          <t>gbp</t>
        </is>
      </c>
    </row>
    <row r="26">
      <c r="A26" s="8" t="inlineStr">
        <is>
          <t>fdbb9826-ab57-479e-9ac1-2bdcaa1ce2d8</t>
        </is>
      </c>
      <c r="B26" s="34" t="inlineStr">
        <is>
          <t>(name not on file)</t>
        </is>
      </c>
      <c r="C26" s="23" t="n">
        <v>46057</v>
      </c>
      <c r="D26" s="8" t="inlineStr">
        <is>
          <t>2026-02</t>
        </is>
      </c>
      <c r="E26" s="8" t="b">
        <v>1</v>
      </c>
      <c r="F26" s="8" t="b">
        <v>1</v>
      </c>
      <c r="G26" s="8" t="b">
        <v>1</v>
      </c>
      <c r="H26" s="8" t="b">
        <v>1</v>
      </c>
      <c r="I26" s="8" t="b">
        <v>1</v>
      </c>
      <c r="J26" s="8" t="b">
        <v>0</v>
      </c>
      <c r="K26" s="8" t="b">
        <v>1</v>
      </c>
      <c r="L26" s="8" t="b">
        <v>1</v>
      </c>
      <c r="M26" s="8" t="b">
        <v>1</v>
      </c>
      <c r="N26" s="8" t="b">
        <v>1</v>
      </c>
      <c r="O26" s="8" t="n">
        <v>7</v>
      </c>
      <c r="P26" s="8" t="n">
        <v>5</v>
      </c>
      <c r="Q26" s="8" t="n">
        <v>0</v>
      </c>
      <c r="R26" s="8" t="n"/>
      <c r="S26" s="23" t="n">
        <v>46057</v>
      </c>
      <c r="T26" s="23" t="n">
        <v>46057</v>
      </c>
      <c r="U26" s="8" t="n">
        <v>0</v>
      </c>
      <c r="V26" s="9" t="n">
        <v>0</v>
      </c>
      <c r="W26" s="8" t="n"/>
      <c r="X26" s="9" t="n"/>
      <c r="Y26" s="8" t="n"/>
      <c r="Z26" s="8" t="inlineStr">
        <is>
          <t>unknown</t>
        </is>
      </c>
    </row>
    <row r="27">
      <c r="A27" s="11" t="inlineStr">
        <is>
          <t>7f669982-4323-42d1-8e6d-4314a08033bd</t>
        </is>
      </c>
      <c r="B27" s="11" t="inlineStr">
        <is>
          <t>Doom Salon</t>
        </is>
      </c>
      <c r="C27" s="24" t="n">
        <v>46057</v>
      </c>
      <c r="D27" s="11" t="inlineStr">
        <is>
          <t>2026-02</t>
        </is>
      </c>
      <c r="E27" s="11" t="b">
        <v>1</v>
      </c>
      <c r="F27" s="11" t="b">
        <v>1</v>
      </c>
      <c r="G27" s="11" t="b">
        <v>1</v>
      </c>
      <c r="H27" s="11" t="b">
        <v>1</v>
      </c>
      <c r="I27" s="11" t="b">
        <v>1</v>
      </c>
      <c r="J27" s="11" t="b">
        <v>0</v>
      </c>
      <c r="K27" s="11" t="b">
        <v>1</v>
      </c>
      <c r="L27" s="11" t="b">
        <v>1</v>
      </c>
      <c r="M27" s="11" t="b">
        <v>1</v>
      </c>
      <c r="N27" s="11" t="b">
        <v>1</v>
      </c>
      <c r="O27" s="11" t="n">
        <v>3</v>
      </c>
      <c r="P27" s="11" t="n">
        <v>1</v>
      </c>
      <c r="Q27" s="11" t="n">
        <v>0</v>
      </c>
      <c r="R27" s="11" t="n"/>
      <c r="S27" s="24" t="n">
        <v>46057</v>
      </c>
      <c r="T27" s="24" t="n">
        <v>46057</v>
      </c>
      <c r="U27" s="11" t="n">
        <v>0</v>
      </c>
      <c r="V27" s="12" t="n">
        <v>0</v>
      </c>
      <c r="W27" s="11" t="n"/>
      <c r="X27" s="12" t="n"/>
      <c r="Y27" s="11" t="n"/>
      <c r="Z27" s="11" t="inlineStr">
        <is>
          <t>gbp_logs</t>
        </is>
      </c>
    </row>
    <row r="28">
      <c r="A28" s="8" t="inlineStr">
        <is>
          <t>f72ac231-6a87-43ef-b01d-60f1ba670cc9</t>
        </is>
      </c>
      <c r="B28" s="8" t="inlineStr">
        <is>
          <t>Natasha super salon</t>
        </is>
      </c>
      <c r="C28" s="23" t="n">
        <v>46057</v>
      </c>
      <c r="D28" s="8" t="inlineStr">
        <is>
          <t>2026-02</t>
        </is>
      </c>
      <c r="E28" s="8" t="b">
        <v>1</v>
      </c>
      <c r="F28" s="8" t="b">
        <v>1</v>
      </c>
      <c r="G28" s="8" t="b">
        <v>1</v>
      </c>
      <c r="H28" s="8" t="b">
        <v>1</v>
      </c>
      <c r="I28" s="8" t="b">
        <v>1</v>
      </c>
      <c r="J28" s="8" t="b">
        <v>0</v>
      </c>
      <c r="K28" s="8" t="b">
        <v>1</v>
      </c>
      <c r="L28" s="8" t="b">
        <v>1</v>
      </c>
      <c r="M28" s="8" t="b">
        <v>1</v>
      </c>
      <c r="N28" s="8" t="b">
        <v>1</v>
      </c>
      <c r="O28" s="8" t="n">
        <v>15</v>
      </c>
      <c r="P28" s="8" t="n">
        <v>1</v>
      </c>
      <c r="Q28" s="8" t="n">
        <v>0</v>
      </c>
      <c r="R28" s="8" t="n"/>
      <c r="S28" s="23" t="n">
        <v>46057</v>
      </c>
      <c r="T28" s="23" t="n">
        <v>46063</v>
      </c>
      <c r="U28" s="8" t="n">
        <v>2</v>
      </c>
      <c r="V28" s="9" t="n">
        <v>246</v>
      </c>
      <c r="W28" s="8" t="n"/>
      <c r="X28" s="9" t="n"/>
      <c r="Y28" s="8" t="n"/>
      <c r="Z28" s="8" t="inlineStr">
        <is>
          <t>gbp_logs</t>
        </is>
      </c>
    </row>
    <row r="29">
      <c r="A29" s="11" t="inlineStr">
        <is>
          <t>15963e89-bbce-4a40-bb5c-da14dc135e6d</t>
        </is>
      </c>
      <c r="B29" s="11" t="inlineStr">
        <is>
          <t>Saxena's spa</t>
        </is>
      </c>
      <c r="C29" s="24" t="n">
        <v>46057</v>
      </c>
      <c r="D29" s="11" t="inlineStr">
        <is>
          <t>2026-02</t>
        </is>
      </c>
      <c r="E29" s="11" t="b">
        <v>1</v>
      </c>
      <c r="F29" s="11" t="b">
        <v>1</v>
      </c>
      <c r="G29" s="11" t="b">
        <v>1</v>
      </c>
      <c r="H29" s="11" t="b">
        <v>1</v>
      </c>
      <c r="I29" s="11" t="b">
        <v>1</v>
      </c>
      <c r="J29" s="11" t="b">
        <v>0</v>
      </c>
      <c r="K29" s="11" t="b">
        <v>1</v>
      </c>
      <c r="L29" s="11" t="b">
        <v>1</v>
      </c>
      <c r="M29" s="11" t="b">
        <v>1</v>
      </c>
      <c r="N29" s="11" t="b">
        <v>1</v>
      </c>
      <c r="O29" s="11" t="n">
        <v>0</v>
      </c>
      <c r="P29" s="11" t="n">
        <v>0</v>
      </c>
      <c r="Q29" s="11" t="n">
        <v>0</v>
      </c>
      <c r="R29" s="11" t="n"/>
      <c r="S29" s="24" t="n"/>
      <c r="T29" s="24" t="n"/>
      <c r="U29" s="11" t="n">
        <v>0</v>
      </c>
      <c r="V29" s="12" t="n">
        <v>0</v>
      </c>
      <c r="W29" s="11" t="n"/>
      <c r="X29" s="12" t="n"/>
      <c r="Y29" s="11" t="n"/>
      <c r="Z29" s="11" t="inlineStr">
        <is>
          <t>gbp_logs</t>
        </is>
      </c>
    </row>
    <row r="30">
      <c r="A30" s="8" t="inlineStr">
        <is>
          <t>67e3523d-dff6-47d4-bebf-55bba69ef991</t>
        </is>
      </c>
      <c r="B30" s="8" t="inlineStr">
        <is>
          <t>ponceluxe laser studio</t>
        </is>
      </c>
      <c r="C30" s="23" t="n">
        <v>46058</v>
      </c>
      <c r="D30" s="8" t="inlineStr">
        <is>
          <t>2026-02</t>
        </is>
      </c>
      <c r="E30" s="8" t="b">
        <v>1</v>
      </c>
      <c r="F30" s="8" t="b">
        <v>1</v>
      </c>
      <c r="G30" s="8" t="b">
        <v>1</v>
      </c>
      <c r="H30" s="8" t="b">
        <v>1</v>
      </c>
      <c r="I30" s="8" t="b">
        <v>1</v>
      </c>
      <c r="J30" s="8" t="b">
        <v>0</v>
      </c>
      <c r="K30" s="8" t="b">
        <v>1</v>
      </c>
      <c r="L30" s="8" t="b">
        <v>1</v>
      </c>
      <c r="M30" s="8" t="b">
        <v>1</v>
      </c>
      <c r="N30" s="8" t="b">
        <v>1</v>
      </c>
      <c r="O30" s="8" t="n">
        <v>431</v>
      </c>
      <c r="P30" s="8" t="n">
        <v>54</v>
      </c>
      <c r="Q30" s="8" t="n">
        <v>0</v>
      </c>
      <c r="R30" s="8" t="n"/>
      <c r="S30" s="23" t="n">
        <v>46058</v>
      </c>
      <c r="T30" s="23" t="n">
        <v>46237</v>
      </c>
      <c r="U30" s="8" t="n">
        <v>1</v>
      </c>
      <c r="V30" s="9" t="n">
        <v>3500</v>
      </c>
      <c r="W30" s="8" t="inlineStr">
        <is>
          <t>AzZkqoV5Dtkn82au8</t>
        </is>
      </c>
      <c r="X30" s="9" t="n">
        <v>100</v>
      </c>
      <c r="Y30" s="8" t="inlineStr">
        <is>
          <t>active</t>
        </is>
      </c>
      <c r="Z30" s="8" t="inlineStr">
        <is>
          <t>gbp</t>
        </is>
      </c>
    </row>
    <row r="31">
      <c r="A31" s="11" t="inlineStr">
        <is>
          <t>daf368e0-54b3-4e34-93b0-b2dd15b204d0</t>
        </is>
      </c>
      <c r="B31" s="33" t="inlineStr">
        <is>
          <t>(name not on file)</t>
        </is>
      </c>
      <c r="C31" s="24" t="n">
        <v>46059</v>
      </c>
      <c r="D31" s="11" t="inlineStr">
        <is>
          <t>2026-02</t>
        </is>
      </c>
      <c r="E31" s="11" t="b">
        <v>1</v>
      </c>
      <c r="F31" s="11" t="b">
        <v>1</v>
      </c>
      <c r="G31" s="11" t="b">
        <v>1</v>
      </c>
      <c r="H31" s="11" t="b">
        <v>1</v>
      </c>
      <c r="I31" s="11" t="b">
        <v>1</v>
      </c>
      <c r="J31" s="11" t="b">
        <v>0</v>
      </c>
      <c r="K31" s="11" t="b">
        <v>1</v>
      </c>
      <c r="L31" s="11" t="b">
        <v>1</v>
      </c>
      <c r="M31" s="11" t="b">
        <v>1</v>
      </c>
      <c r="N31" s="11" t="b">
        <v>1</v>
      </c>
      <c r="O31" s="11" t="n">
        <v>22</v>
      </c>
      <c r="P31" s="11" t="n">
        <v>15</v>
      </c>
      <c r="Q31" s="11" t="n">
        <v>0</v>
      </c>
      <c r="R31" s="11" t="n"/>
      <c r="S31" s="24" t="n">
        <v>46059</v>
      </c>
      <c r="T31" s="24" t="n">
        <v>46059</v>
      </c>
      <c r="U31" s="11" t="n">
        <v>0</v>
      </c>
      <c r="V31" s="12" t="n">
        <v>0</v>
      </c>
      <c r="W31" s="11" t="n"/>
      <c r="X31" s="12" t="n"/>
      <c r="Y31" s="11" t="n"/>
      <c r="Z31" s="11" t="inlineStr">
        <is>
          <t>unknown</t>
        </is>
      </c>
    </row>
    <row r="32">
      <c r="A32" s="8" t="inlineStr">
        <is>
          <t>5b0c1aa0-57c8-469c-a23c-115aa7e6d30e</t>
        </is>
      </c>
      <c r="B32" s="8" t="inlineStr">
        <is>
          <t>Shine Salon &amp; Spa</t>
        </is>
      </c>
      <c r="C32" s="23" t="n">
        <v>46059</v>
      </c>
      <c r="D32" s="8" t="inlineStr">
        <is>
          <t>2026-02</t>
        </is>
      </c>
      <c r="E32" s="8" t="b">
        <v>1</v>
      </c>
      <c r="F32" s="8" t="b">
        <v>1</v>
      </c>
      <c r="G32" s="8" t="b">
        <v>1</v>
      </c>
      <c r="H32" s="8" t="b">
        <v>1</v>
      </c>
      <c r="I32" s="8" t="b">
        <v>1</v>
      </c>
      <c r="J32" s="8" t="b">
        <v>1</v>
      </c>
      <c r="K32" s="8" t="b">
        <v>0</v>
      </c>
      <c r="L32" s="8" t="b">
        <v>1</v>
      </c>
      <c r="M32" s="8" t="b">
        <v>1</v>
      </c>
      <c r="N32" s="8" t="b">
        <v>1</v>
      </c>
      <c r="O32" s="8" t="n">
        <v>117</v>
      </c>
      <c r="P32" s="8" t="n">
        <v>70</v>
      </c>
      <c r="Q32" s="8" t="n">
        <v>0</v>
      </c>
      <c r="R32" s="8" t="n"/>
      <c r="S32" s="23" t="n">
        <v>46059</v>
      </c>
      <c r="T32" s="23" t="n">
        <v>46107</v>
      </c>
      <c r="U32" s="8" t="n">
        <v>36</v>
      </c>
      <c r="V32" s="9" t="n">
        <v>1582.5</v>
      </c>
      <c r="W32" s="8" t="n"/>
      <c r="X32" s="9" t="n"/>
      <c r="Y32" s="8" t="n"/>
      <c r="Z32" s="8" t="inlineStr">
        <is>
          <t>gbp_logs</t>
        </is>
      </c>
    </row>
    <row r="33">
      <c r="A33" s="11" t="inlineStr">
        <is>
          <t>5872c647-324b-43f1-9b1d-b3dc976b9d91</t>
        </is>
      </c>
      <c r="B33" s="11" t="inlineStr">
        <is>
          <t>Nancy's Nail Spa - Best in Bangalore</t>
        </is>
      </c>
      <c r="C33" s="24" t="n">
        <v>46059</v>
      </c>
      <c r="D33" s="11" t="inlineStr">
        <is>
          <t>2026-02</t>
        </is>
      </c>
      <c r="E33" s="11" t="b">
        <v>1</v>
      </c>
      <c r="F33" s="11" t="b">
        <v>1</v>
      </c>
      <c r="G33" s="11" t="b">
        <v>1</v>
      </c>
      <c r="H33" s="11" t="b">
        <v>1</v>
      </c>
      <c r="I33" s="11" t="b">
        <v>1</v>
      </c>
      <c r="J33" s="11" t="b">
        <v>0</v>
      </c>
      <c r="K33" s="11" t="b">
        <v>1</v>
      </c>
      <c r="L33" s="11" t="b">
        <v>1</v>
      </c>
      <c r="M33" s="11" t="b">
        <v>1</v>
      </c>
      <c r="N33" s="11" t="b">
        <v>1</v>
      </c>
      <c r="O33" s="11" t="n">
        <v>17</v>
      </c>
      <c r="P33" s="11" t="n">
        <v>14</v>
      </c>
      <c r="Q33" s="11" t="n">
        <v>0</v>
      </c>
      <c r="R33" s="11" t="n"/>
      <c r="S33" s="24" t="n">
        <v>46059</v>
      </c>
      <c r="T33" s="24" t="n">
        <v>46120</v>
      </c>
      <c r="U33" s="11" t="n">
        <v>1</v>
      </c>
      <c r="V33" s="12" t="n">
        <v>500</v>
      </c>
      <c r="W33" s="11" t="n"/>
      <c r="X33" s="12" t="n"/>
      <c r="Y33" s="11" t="n"/>
      <c r="Z33" s="11" t="inlineStr">
        <is>
          <t>gbp_logs</t>
        </is>
      </c>
    </row>
    <row r="34">
      <c r="A34" s="8" t="inlineStr">
        <is>
          <t>a6d263b8-b099-4c62-b823-9c5f40d1cec8</t>
        </is>
      </c>
      <c r="B34" s="34" t="inlineStr">
        <is>
          <t>(name not on file)</t>
        </is>
      </c>
      <c r="C34" s="23" t="n">
        <v>46059</v>
      </c>
      <c r="D34" s="8" t="inlineStr">
        <is>
          <t>2026-02</t>
        </is>
      </c>
      <c r="E34" s="8" t="b">
        <v>1</v>
      </c>
      <c r="F34" s="8" t="b">
        <v>1</v>
      </c>
      <c r="G34" s="8" t="b">
        <v>1</v>
      </c>
      <c r="H34" s="8" t="b">
        <v>1</v>
      </c>
      <c r="I34" s="8" t="b">
        <v>1</v>
      </c>
      <c r="J34" s="8" t="b">
        <v>0</v>
      </c>
      <c r="K34" s="8" t="b">
        <v>1</v>
      </c>
      <c r="L34" s="8" t="b">
        <v>1</v>
      </c>
      <c r="M34" s="8" t="b">
        <v>1</v>
      </c>
      <c r="N34" s="8" t="b">
        <v>1</v>
      </c>
      <c r="O34" s="8" t="n">
        <v>0</v>
      </c>
      <c r="P34" s="8" t="n">
        <v>0</v>
      </c>
      <c r="Q34" s="8" t="n">
        <v>0</v>
      </c>
      <c r="R34" s="8" t="n"/>
      <c r="S34" s="23" t="n"/>
      <c r="T34" s="23" t="n"/>
      <c r="U34" s="8" t="n">
        <v>0</v>
      </c>
      <c r="V34" s="9" t="n">
        <v>0</v>
      </c>
      <c r="W34" s="8" t="n"/>
      <c r="X34" s="9" t="n"/>
      <c r="Y34" s="8" t="n"/>
      <c r="Z34" s="8" t="inlineStr">
        <is>
          <t>unknown</t>
        </is>
      </c>
    </row>
    <row r="35">
      <c r="A35" s="11" t="inlineStr">
        <is>
          <t>08409d6f-f05c-48e9-aef5-1cf77f9de987</t>
        </is>
      </c>
      <c r="B35" s="33" t="inlineStr">
        <is>
          <t>(name not on file)</t>
        </is>
      </c>
      <c r="C35" s="24" t="n">
        <v>46059</v>
      </c>
      <c r="D35" s="11" t="inlineStr">
        <is>
          <t>2026-02</t>
        </is>
      </c>
      <c r="E35" s="11" t="b">
        <v>1</v>
      </c>
      <c r="F35" s="11" t="b">
        <v>1</v>
      </c>
      <c r="G35" s="11" t="b">
        <v>1</v>
      </c>
      <c r="H35" s="11" t="b">
        <v>1</v>
      </c>
      <c r="I35" s="11" t="b">
        <v>1</v>
      </c>
      <c r="J35" s="11" t="b">
        <v>0</v>
      </c>
      <c r="K35" s="11" t="b">
        <v>1</v>
      </c>
      <c r="L35" s="11" t="b">
        <v>1</v>
      </c>
      <c r="M35" s="11" t="b">
        <v>1</v>
      </c>
      <c r="N35" s="11" t="b">
        <v>1</v>
      </c>
      <c r="O35" s="11" t="n">
        <v>0</v>
      </c>
      <c r="P35" s="11" t="n">
        <v>0</v>
      </c>
      <c r="Q35" s="11" t="n">
        <v>0</v>
      </c>
      <c r="R35" s="11" t="n"/>
      <c r="S35" s="24" t="n"/>
      <c r="T35" s="24" t="n"/>
      <c r="U35" s="11" t="n">
        <v>0</v>
      </c>
      <c r="V35" s="12" t="n">
        <v>0</v>
      </c>
      <c r="W35" s="11" t="n"/>
      <c r="X35" s="12" t="n"/>
      <c r="Y35" s="11" t="n"/>
      <c r="Z35" s="11" t="inlineStr">
        <is>
          <t>unknown</t>
        </is>
      </c>
    </row>
    <row r="36">
      <c r="A36" s="8" t="inlineStr">
        <is>
          <t>0f4398a1-bb1a-4bff-96fa-e4948216a5a5</t>
        </is>
      </c>
      <c r="B36" s="34" t="inlineStr">
        <is>
          <t>(name not on file)</t>
        </is>
      </c>
      <c r="C36" s="23" t="n">
        <v>46059</v>
      </c>
      <c r="D36" s="8" t="inlineStr">
        <is>
          <t>2026-02</t>
        </is>
      </c>
      <c r="E36" s="8" t="b">
        <v>1</v>
      </c>
      <c r="F36" s="8" t="b">
        <v>1</v>
      </c>
      <c r="G36" s="8" t="b">
        <v>1</v>
      </c>
      <c r="H36" s="8" t="b">
        <v>1</v>
      </c>
      <c r="I36" s="8" t="b">
        <v>1</v>
      </c>
      <c r="J36" s="8" t="b">
        <v>0</v>
      </c>
      <c r="K36" s="8" t="b">
        <v>1</v>
      </c>
      <c r="L36" s="8" t="b">
        <v>1</v>
      </c>
      <c r="M36" s="8" t="b">
        <v>1</v>
      </c>
      <c r="N36" s="8" t="b">
        <v>1</v>
      </c>
      <c r="O36" s="8" t="n">
        <v>0</v>
      </c>
      <c r="P36" s="8" t="n">
        <v>0</v>
      </c>
      <c r="Q36" s="8" t="n">
        <v>0</v>
      </c>
      <c r="R36" s="8" t="n"/>
      <c r="S36" s="23" t="n"/>
      <c r="T36" s="23" t="n"/>
      <c r="U36" s="8" t="n">
        <v>0</v>
      </c>
      <c r="V36" s="9" t="n">
        <v>0</v>
      </c>
      <c r="W36" s="8" t="n"/>
      <c r="X36" s="9" t="n"/>
      <c r="Y36" s="8" t="n"/>
      <c r="Z36" s="8" t="inlineStr">
        <is>
          <t>unknown</t>
        </is>
      </c>
    </row>
    <row r="37">
      <c r="A37" s="11" t="inlineStr">
        <is>
          <t>f774f9a1-e3df-458b-949f-a1cd9a346214</t>
        </is>
      </c>
      <c r="B37" s="11" t="inlineStr">
        <is>
          <t>Jeans lash lounge</t>
        </is>
      </c>
      <c r="C37" s="24" t="n">
        <v>46059</v>
      </c>
      <c r="D37" s="11" t="inlineStr">
        <is>
          <t>2026-02</t>
        </is>
      </c>
      <c r="E37" s="11" t="b">
        <v>1</v>
      </c>
      <c r="F37" s="11" t="b">
        <v>1</v>
      </c>
      <c r="G37" s="11" t="b">
        <v>1</v>
      </c>
      <c r="H37" s="11" t="b">
        <v>1</v>
      </c>
      <c r="I37" s="11" t="b">
        <v>1</v>
      </c>
      <c r="J37" s="11" t="b">
        <v>1</v>
      </c>
      <c r="K37" s="11" t="b">
        <v>0</v>
      </c>
      <c r="L37" s="11" t="b">
        <v>1</v>
      </c>
      <c r="M37" s="11" t="b">
        <v>1</v>
      </c>
      <c r="N37" s="11" t="b">
        <v>1</v>
      </c>
      <c r="O37" s="11" t="n">
        <v>24</v>
      </c>
      <c r="P37" s="11" t="n">
        <v>22</v>
      </c>
      <c r="Q37" s="11" t="n">
        <v>0</v>
      </c>
      <c r="R37" s="11" t="n"/>
      <c r="S37" s="24" t="n">
        <v>46059</v>
      </c>
      <c r="T37" s="24" t="n">
        <v>46223</v>
      </c>
      <c r="U37" s="11" t="n">
        <v>0</v>
      </c>
      <c r="V37" s="12" t="n">
        <v>0</v>
      </c>
      <c r="W37" s="11" t="inlineStr">
        <is>
          <t>AzqKGMUj2VY405ZFf</t>
        </is>
      </c>
      <c r="X37" s="12" t="n">
        <v>399</v>
      </c>
      <c r="Y37" s="11" t="inlineStr">
        <is>
          <t>active</t>
        </is>
      </c>
      <c r="Z37" s="11" t="inlineStr">
        <is>
          <t>gbp</t>
        </is>
      </c>
    </row>
    <row r="38">
      <c r="A38" s="8" t="inlineStr">
        <is>
          <t>bbc01faa-717b-49c6-90f2-ffa50e45af99</t>
        </is>
      </c>
      <c r="B38" s="34" t="inlineStr">
        <is>
          <t>(name not on file)</t>
        </is>
      </c>
      <c r="C38" s="23" t="n">
        <v>46062</v>
      </c>
      <c r="D38" s="8" t="inlineStr">
        <is>
          <t>2026-02</t>
        </is>
      </c>
      <c r="E38" s="8" t="b">
        <v>1</v>
      </c>
      <c r="F38" s="8" t="b">
        <v>1</v>
      </c>
      <c r="G38" s="8" t="b">
        <v>1</v>
      </c>
      <c r="H38" s="8" t="b">
        <v>1</v>
      </c>
      <c r="I38" s="8" t="b">
        <v>1</v>
      </c>
      <c r="J38" s="8" t="b">
        <v>0</v>
      </c>
      <c r="K38" s="8" t="b">
        <v>1</v>
      </c>
      <c r="L38" s="8" t="b">
        <v>1</v>
      </c>
      <c r="M38" s="8" t="b">
        <v>1</v>
      </c>
      <c r="N38" s="8" t="b">
        <v>1</v>
      </c>
      <c r="O38" s="8" t="n">
        <v>4</v>
      </c>
      <c r="P38" s="8" t="n">
        <v>4</v>
      </c>
      <c r="Q38" s="8" t="n">
        <v>0</v>
      </c>
      <c r="R38" s="8" t="n"/>
      <c r="S38" s="23" t="n">
        <v>46062</v>
      </c>
      <c r="T38" s="23" t="n">
        <v>46063</v>
      </c>
      <c r="U38" s="8" t="n">
        <v>0</v>
      </c>
      <c r="V38" s="9" t="n">
        <v>0</v>
      </c>
      <c r="W38" s="8" t="n"/>
      <c r="X38" s="9" t="n"/>
      <c r="Y38" s="8" t="n"/>
      <c r="Z38" s="8" t="inlineStr">
        <is>
          <t>unknown</t>
        </is>
      </c>
    </row>
    <row r="39">
      <c r="A39" s="11" t="inlineStr">
        <is>
          <t>8516a713-7500-4ad6-9dde-d49f249abbb4</t>
        </is>
      </c>
      <c r="B39" s="11" t="inlineStr">
        <is>
          <t>Lord of Locs</t>
        </is>
      </c>
      <c r="C39" s="24" t="n">
        <v>46062</v>
      </c>
      <c r="D39" s="11" t="inlineStr">
        <is>
          <t>2026-02</t>
        </is>
      </c>
      <c r="E39" s="11" t="b">
        <v>1</v>
      </c>
      <c r="F39" s="11" t="b">
        <v>1</v>
      </c>
      <c r="G39" s="11" t="b">
        <v>1</v>
      </c>
      <c r="H39" s="11" t="b">
        <v>1</v>
      </c>
      <c r="I39" s="11" t="b">
        <v>1</v>
      </c>
      <c r="J39" s="11" t="b">
        <v>1</v>
      </c>
      <c r="K39" s="11" t="b">
        <v>1</v>
      </c>
      <c r="L39" s="11" t="b">
        <v>1</v>
      </c>
      <c r="M39" s="11" t="b">
        <v>1</v>
      </c>
      <c r="N39" s="11" t="b">
        <v>1</v>
      </c>
      <c r="O39" s="11" t="n">
        <v>611</v>
      </c>
      <c r="P39" s="11" t="n">
        <v>67</v>
      </c>
      <c r="Q39" s="11" t="n">
        <v>0</v>
      </c>
      <c r="R39" s="11" t="n"/>
      <c r="S39" s="24" t="n">
        <v>45465</v>
      </c>
      <c r="T39" s="24" t="n">
        <v>46237</v>
      </c>
      <c r="U39" s="11" t="n">
        <v>72</v>
      </c>
      <c r="V39" s="12" t="n">
        <v>3956</v>
      </c>
      <c r="W39" s="11" t="inlineStr">
        <is>
          <t>cus_Q0yzaP9rDqi7TT</t>
        </is>
      </c>
      <c r="X39" s="12" t="n">
        <v>150</v>
      </c>
      <c r="Y39" s="11" t="inlineStr">
        <is>
          <t>active</t>
        </is>
      </c>
      <c r="Z39" s="11" t="inlineStr">
        <is>
          <t>gbp</t>
        </is>
      </c>
    </row>
    <row r="40">
      <c r="A40" s="8" t="inlineStr">
        <is>
          <t>db2e88b9-af6a-4d47-8900-9fcca27925a9</t>
        </is>
      </c>
      <c r="B40" s="8" t="inlineStr">
        <is>
          <t>The Beauty Bar Salon and Spa</t>
        </is>
      </c>
      <c r="C40" s="23" t="n">
        <v>46062</v>
      </c>
      <c r="D40" s="8" t="inlineStr">
        <is>
          <t>2026-02</t>
        </is>
      </c>
      <c r="E40" s="8" t="b">
        <v>1</v>
      </c>
      <c r="F40" s="8" t="b">
        <v>1</v>
      </c>
      <c r="G40" s="8" t="b">
        <v>1</v>
      </c>
      <c r="H40" s="8" t="b">
        <v>1</v>
      </c>
      <c r="I40" s="8" t="b">
        <v>1</v>
      </c>
      <c r="J40" s="8" t="b">
        <v>1</v>
      </c>
      <c r="K40" s="8" t="b">
        <v>0</v>
      </c>
      <c r="L40" s="8" t="b">
        <v>1</v>
      </c>
      <c r="M40" s="8" t="b">
        <v>1</v>
      </c>
      <c r="N40" s="8" t="b">
        <v>1</v>
      </c>
      <c r="O40" s="8" t="n">
        <v>2623</v>
      </c>
      <c r="P40" s="8" t="n">
        <v>415</v>
      </c>
      <c r="Q40" s="8" t="n">
        <v>0</v>
      </c>
      <c r="R40" s="8" t="n"/>
      <c r="S40" s="23" t="n">
        <v>45197</v>
      </c>
      <c r="T40" s="23" t="n">
        <v>46237</v>
      </c>
      <c r="U40" s="8" t="n">
        <v>271</v>
      </c>
      <c r="V40" s="9" t="n">
        <v>8558.5</v>
      </c>
      <c r="W40" s="8" t="inlineStr">
        <is>
          <t>cus_OUyjtBRaU7IAeF</t>
        </is>
      </c>
      <c r="X40" s="9" t="n">
        <v>162.94</v>
      </c>
      <c r="Y40" s="8" t="inlineStr">
        <is>
          <t>active</t>
        </is>
      </c>
      <c r="Z40" s="8" t="inlineStr">
        <is>
          <t>gbp</t>
        </is>
      </c>
    </row>
    <row r="41">
      <c r="A41" s="11" t="inlineStr">
        <is>
          <t>c22560c1-9c4e-4d1d-9791-4e148782530c</t>
        </is>
      </c>
      <c r="B41" s="33" t="inlineStr">
        <is>
          <t>(name not on file)</t>
        </is>
      </c>
      <c r="C41" s="24" t="n">
        <v>46063</v>
      </c>
      <c r="D41" s="11" t="inlineStr">
        <is>
          <t>2026-02</t>
        </is>
      </c>
      <c r="E41" s="11" t="b">
        <v>1</v>
      </c>
      <c r="F41" s="11" t="b">
        <v>1</v>
      </c>
      <c r="G41" s="11" t="b">
        <v>1</v>
      </c>
      <c r="H41" s="11" t="b">
        <v>1</v>
      </c>
      <c r="I41" s="11" t="b">
        <v>1</v>
      </c>
      <c r="J41" s="11" t="b">
        <v>0</v>
      </c>
      <c r="K41" s="11" t="b">
        <v>1</v>
      </c>
      <c r="L41" s="11" t="b">
        <v>1</v>
      </c>
      <c r="M41" s="11" t="b">
        <v>1</v>
      </c>
      <c r="N41" s="11" t="b">
        <v>1</v>
      </c>
      <c r="O41" s="11" t="n">
        <v>3</v>
      </c>
      <c r="P41" s="11" t="n">
        <v>1</v>
      </c>
      <c r="Q41" s="11" t="n">
        <v>0</v>
      </c>
      <c r="R41" s="11" t="n"/>
      <c r="S41" s="24" t="n">
        <v>46063</v>
      </c>
      <c r="T41" s="24" t="n">
        <v>46063</v>
      </c>
      <c r="U41" s="11" t="n">
        <v>1</v>
      </c>
      <c r="V41" s="12" t="n">
        <v>7</v>
      </c>
      <c r="W41" s="11" t="n"/>
      <c r="X41" s="12" t="n"/>
      <c r="Y41" s="11" t="n"/>
      <c r="Z41" s="11" t="inlineStr">
        <is>
          <t>unknown</t>
        </is>
      </c>
    </row>
    <row r="42">
      <c r="A42" s="8" t="inlineStr">
        <is>
          <t>ccf27c15-8215-40aa-8204-aa7573903d30</t>
        </is>
      </c>
      <c r="B42" s="8" t="inlineStr">
        <is>
          <t>Premium African Braids</t>
        </is>
      </c>
      <c r="C42" s="23" t="n">
        <v>46063</v>
      </c>
      <c r="D42" s="8" t="inlineStr">
        <is>
          <t>2026-02</t>
        </is>
      </c>
      <c r="E42" s="8" t="b">
        <v>1</v>
      </c>
      <c r="F42" s="8" t="b">
        <v>1</v>
      </c>
      <c r="G42" s="8" t="b">
        <v>1</v>
      </c>
      <c r="H42" s="8" t="b">
        <v>1</v>
      </c>
      <c r="I42" s="8" t="b">
        <v>1</v>
      </c>
      <c r="J42" s="8" t="b">
        <v>1</v>
      </c>
      <c r="K42" s="8" t="b">
        <v>0</v>
      </c>
      <c r="L42" s="8" t="b">
        <v>1</v>
      </c>
      <c r="M42" s="8" t="b">
        <v>1</v>
      </c>
      <c r="N42" s="8" t="b">
        <v>1</v>
      </c>
      <c r="O42" s="8" t="n">
        <v>111</v>
      </c>
      <c r="P42" s="8" t="n">
        <v>6</v>
      </c>
      <c r="Q42" s="8" t="n">
        <v>0</v>
      </c>
      <c r="R42" s="8" t="n"/>
      <c r="S42" s="23" t="n">
        <v>45223</v>
      </c>
      <c r="T42" s="23" t="n">
        <v>46172</v>
      </c>
      <c r="U42" s="8" t="n">
        <v>0</v>
      </c>
      <c r="V42" s="9" t="n">
        <v>0</v>
      </c>
      <c r="W42" s="8" t="inlineStr">
        <is>
          <t>cus_RR29SxTsdXcDRw</t>
        </is>
      </c>
      <c r="X42" s="9" t="n">
        <v>108.62</v>
      </c>
      <c r="Y42" s="8" t="inlineStr">
        <is>
          <t>active</t>
        </is>
      </c>
      <c r="Z42" s="8" t="inlineStr">
        <is>
          <t>gbp</t>
        </is>
      </c>
    </row>
    <row r="43">
      <c r="A43" s="11" t="inlineStr">
        <is>
          <t>05916f29-3a28-429d-8fc1-16a83af4204d</t>
        </is>
      </c>
      <c r="B43" s="11" t="inlineStr">
        <is>
          <t>Tokai Hair Salon</t>
        </is>
      </c>
      <c r="C43" s="24" t="n">
        <v>46064</v>
      </c>
      <c r="D43" s="11" t="inlineStr">
        <is>
          <t>2026-02</t>
        </is>
      </c>
      <c r="E43" s="11" t="b">
        <v>1</v>
      </c>
      <c r="F43" s="11" t="b">
        <v>1</v>
      </c>
      <c r="G43" s="11" t="b">
        <v>1</v>
      </c>
      <c r="H43" s="11" t="b">
        <v>1</v>
      </c>
      <c r="I43" s="11" t="b">
        <v>1</v>
      </c>
      <c r="J43" s="11" t="b">
        <v>0</v>
      </c>
      <c r="K43" s="11" t="b">
        <v>1</v>
      </c>
      <c r="L43" s="11" t="b">
        <v>1</v>
      </c>
      <c r="M43" s="11" t="b">
        <v>1</v>
      </c>
      <c r="N43" s="11" t="b">
        <v>1</v>
      </c>
      <c r="O43" s="11" t="n">
        <v>0</v>
      </c>
      <c r="P43" s="11" t="n">
        <v>0</v>
      </c>
      <c r="Q43" s="11" t="n">
        <v>0</v>
      </c>
      <c r="R43" s="11" t="n"/>
      <c r="S43" s="24" t="n"/>
      <c r="T43" s="24" t="n"/>
      <c r="U43" s="11" t="n">
        <v>0</v>
      </c>
      <c r="V43" s="12" t="n">
        <v>0</v>
      </c>
      <c r="W43" s="11" t="n"/>
      <c r="X43" s="12" t="n"/>
      <c r="Y43" s="11" t="n"/>
      <c r="Z43" s="11" t="inlineStr">
        <is>
          <t>gbp_logs</t>
        </is>
      </c>
    </row>
    <row r="44">
      <c r="A44" s="8" t="inlineStr">
        <is>
          <t>b5974616-7dcd-4f9f-91f7-d27f886d343d</t>
        </is>
      </c>
      <c r="B44" s="34" t="inlineStr">
        <is>
          <t>(name not on file)</t>
        </is>
      </c>
      <c r="C44" s="23" t="n">
        <v>46064</v>
      </c>
      <c r="D44" s="8" t="inlineStr">
        <is>
          <t>2026-02</t>
        </is>
      </c>
      <c r="E44" s="8" t="b">
        <v>1</v>
      </c>
      <c r="F44" s="8" t="b">
        <v>1</v>
      </c>
      <c r="G44" s="8" t="b">
        <v>1</v>
      </c>
      <c r="H44" s="8" t="b">
        <v>1</v>
      </c>
      <c r="I44" s="8" t="b">
        <v>1</v>
      </c>
      <c r="J44" s="8" t="b">
        <v>0</v>
      </c>
      <c r="K44" s="8" t="b">
        <v>1</v>
      </c>
      <c r="L44" s="8" t="b">
        <v>1</v>
      </c>
      <c r="M44" s="8" t="b">
        <v>1</v>
      </c>
      <c r="N44" s="8" t="b">
        <v>1</v>
      </c>
      <c r="O44" s="8" t="n">
        <v>1</v>
      </c>
      <c r="P44" s="8" t="n">
        <v>1</v>
      </c>
      <c r="Q44" s="8" t="n">
        <v>0</v>
      </c>
      <c r="R44" s="8" t="n"/>
      <c r="S44" s="23" t="n">
        <v>46064</v>
      </c>
      <c r="T44" s="23" t="n">
        <v>46064</v>
      </c>
      <c r="U44" s="8" t="n">
        <v>0</v>
      </c>
      <c r="V44" s="9" t="n">
        <v>0</v>
      </c>
      <c r="W44" s="8" t="n"/>
      <c r="X44" s="9" t="n"/>
      <c r="Y44" s="8" t="n"/>
      <c r="Z44" s="8" t="inlineStr">
        <is>
          <t>unknown</t>
        </is>
      </c>
    </row>
    <row r="45">
      <c r="A45" s="11" t="inlineStr">
        <is>
          <t>7913db14-c705-4575-af16-c5bd815e7677</t>
        </is>
      </c>
      <c r="B45" s="33" t="inlineStr">
        <is>
          <t>(name not on file)</t>
        </is>
      </c>
      <c r="C45" s="24" t="n">
        <v>46064</v>
      </c>
      <c r="D45" s="11" t="inlineStr">
        <is>
          <t>2026-02</t>
        </is>
      </c>
      <c r="E45" s="11" t="b">
        <v>1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n">
        <v>0</v>
      </c>
      <c r="P45" s="11" t="n">
        <v>0</v>
      </c>
      <c r="Q45" s="11" t="n">
        <v>0</v>
      </c>
      <c r="R45" s="11" t="n"/>
      <c r="S45" s="24" t="n"/>
      <c r="T45" s="24" t="n"/>
      <c r="U45" s="11" t="n">
        <v>0</v>
      </c>
      <c r="V45" s="12" t="n">
        <v>0</v>
      </c>
      <c r="W45" s="11" t="n"/>
      <c r="X45" s="12" t="n"/>
      <c r="Y45" s="11" t="n"/>
      <c r="Z45" s="11" t="inlineStr">
        <is>
          <t>unknown</t>
        </is>
      </c>
    </row>
    <row r="46">
      <c r="A46" s="8" t="inlineStr">
        <is>
          <t>9cf920f2-201a-48cf-9fe9-429538bd4db7</t>
        </is>
      </c>
      <c r="B46" s="8" t="inlineStr">
        <is>
          <t>Saxena's spa</t>
        </is>
      </c>
      <c r="C46" s="23" t="n">
        <v>46065</v>
      </c>
      <c r="D46" s="8" t="inlineStr">
        <is>
          <t>2026-02</t>
        </is>
      </c>
      <c r="E46" s="8" t="b">
        <v>1</v>
      </c>
      <c r="F46" s="8" t="b">
        <v>1</v>
      </c>
      <c r="G46" s="8" t="b">
        <v>1</v>
      </c>
      <c r="H46" s="8" t="b">
        <v>1</v>
      </c>
      <c r="I46" s="8" t="b">
        <v>1</v>
      </c>
      <c r="J46" s="8" t="b">
        <v>0</v>
      </c>
      <c r="K46" s="8" t="b">
        <v>1</v>
      </c>
      <c r="L46" s="8" t="b">
        <v>1</v>
      </c>
      <c r="M46" s="8" t="b">
        <v>1</v>
      </c>
      <c r="N46" s="8" t="b">
        <v>1</v>
      </c>
      <c r="O46" s="8" t="n">
        <v>1</v>
      </c>
      <c r="P46" s="8" t="n">
        <v>1</v>
      </c>
      <c r="Q46" s="8" t="n">
        <v>0</v>
      </c>
      <c r="R46" s="8" t="n"/>
      <c r="S46" s="23" t="n">
        <v>46065</v>
      </c>
      <c r="T46" s="23" t="n">
        <v>46065</v>
      </c>
      <c r="U46" s="8" t="n">
        <v>0</v>
      </c>
      <c r="V46" s="9" t="n">
        <v>0</v>
      </c>
      <c r="W46" s="8" t="n"/>
      <c r="X46" s="9" t="n"/>
      <c r="Y46" s="8" t="n"/>
      <c r="Z46" s="8" t="inlineStr">
        <is>
          <t>gbp_logs</t>
        </is>
      </c>
    </row>
    <row r="47">
      <c r="A47" s="11" t="inlineStr">
        <is>
          <t>ae7ca3a4-295e-4372-8971-d2fc516fc7c5</t>
        </is>
      </c>
      <c r="B47" s="11" t="inlineStr">
        <is>
          <t>Natasha super salon</t>
        </is>
      </c>
      <c r="C47" s="24" t="n">
        <v>46065</v>
      </c>
      <c r="D47" s="11" t="inlineStr">
        <is>
          <t>2026-02</t>
        </is>
      </c>
      <c r="E47" s="11" t="b">
        <v>1</v>
      </c>
      <c r="F47" s="11" t="b">
        <v>1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n">
        <v>0</v>
      </c>
      <c r="P47" s="11" t="n">
        <v>0</v>
      </c>
      <c r="Q47" s="11" t="n">
        <v>0</v>
      </c>
      <c r="R47" s="11" t="n"/>
      <c r="S47" s="24" t="n"/>
      <c r="T47" s="24" t="n"/>
      <c r="U47" s="11" t="n">
        <v>0</v>
      </c>
      <c r="V47" s="12" t="n">
        <v>0</v>
      </c>
      <c r="W47" s="11" t="n"/>
      <c r="X47" s="12" t="n"/>
      <c r="Y47" s="11" t="n"/>
      <c r="Z47" s="11" t="inlineStr">
        <is>
          <t>gbp_logs</t>
        </is>
      </c>
    </row>
    <row r="48">
      <c r="A48" s="8" t="inlineStr">
        <is>
          <t>07a8e1fa-f005-4cf5-9182-f1d48d82fa2e</t>
        </is>
      </c>
      <c r="B48" s="8" t="inlineStr">
        <is>
          <t>Emporio African Braids</t>
        </is>
      </c>
      <c r="C48" s="23" t="n">
        <v>46065</v>
      </c>
      <c r="D48" s="8" t="inlineStr">
        <is>
          <t>2026-02</t>
        </is>
      </c>
      <c r="E48" s="8" t="b">
        <v>1</v>
      </c>
      <c r="F48" s="8" t="b">
        <v>1</v>
      </c>
      <c r="G48" s="8" t="b">
        <v>1</v>
      </c>
      <c r="H48" s="8" t="b">
        <v>1</v>
      </c>
      <c r="I48" s="8" t="b">
        <v>1</v>
      </c>
      <c r="J48" s="8" t="b">
        <v>1</v>
      </c>
      <c r="K48" s="8" t="b">
        <v>0</v>
      </c>
      <c r="L48" s="8" t="b">
        <v>1</v>
      </c>
      <c r="M48" s="8" t="b">
        <v>1</v>
      </c>
      <c r="N48" s="8" t="b">
        <v>1</v>
      </c>
      <c r="O48" s="8" t="n">
        <v>272</v>
      </c>
      <c r="P48" s="8" t="n">
        <v>56</v>
      </c>
      <c r="Q48" s="8" t="n">
        <v>0</v>
      </c>
      <c r="R48" s="8" t="n"/>
      <c r="S48" s="23" t="n">
        <v>45526</v>
      </c>
      <c r="T48" s="23" t="n">
        <v>46235</v>
      </c>
      <c r="U48" s="8" t="n">
        <v>39</v>
      </c>
      <c r="V48" s="9" t="n">
        <v>1767.6</v>
      </c>
      <c r="W48" s="8" t="inlineStr">
        <is>
          <t>cus_Q7pV871MpzSuGB</t>
        </is>
      </c>
      <c r="X48" s="9" t="n">
        <v>50</v>
      </c>
      <c r="Y48" s="8" t="inlineStr">
        <is>
          <t>active</t>
        </is>
      </c>
      <c r="Z48" s="8" t="inlineStr">
        <is>
          <t>gbp</t>
        </is>
      </c>
    </row>
    <row r="49">
      <c r="A49" s="11" t="inlineStr">
        <is>
          <t>4ebee20a-db99-4e09-b3f0-afa88cb49861</t>
        </is>
      </c>
      <c r="B49" s="11" t="inlineStr">
        <is>
          <t>Adel braids</t>
        </is>
      </c>
      <c r="C49" s="24" t="n">
        <v>46066</v>
      </c>
      <c r="D49" s="11" t="inlineStr">
        <is>
          <t>2026-02</t>
        </is>
      </c>
      <c r="E49" s="11" t="b">
        <v>1</v>
      </c>
      <c r="F49" s="11" t="b">
        <v>1</v>
      </c>
      <c r="G49" s="11" t="b">
        <v>1</v>
      </c>
      <c r="H49" s="11" t="b">
        <v>1</v>
      </c>
      <c r="I49" s="11" t="b">
        <v>1</v>
      </c>
      <c r="J49" s="11" t="b">
        <v>1</v>
      </c>
      <c r="K49" s="11" t="b">
        <v>0</v>
      </c>
      <c r="L49" s="11" t="b">
        <v>1</v>
      </c>
      <c r="M49" s="11" t="b">
        <v>1</v>
      </c>
      <c r="N49" s="11" t="b">
        <v>1</v>
      </c>
      <c r="O49" s="11" t="n">
        <v>19</v>
      </c>
      <c r="P49" s="11" t="n">
        <v>17</v>
      </c>
      <c r="Q49" s="11" t="n">
        <v>0</v>
      </c>
      <c r="R49" s="11" t="n"/>
      <c r="S49" s="24" t="n">
        <v>46066</v>
      </c>
      <c r="T49" s="24" t="n">
        <v>46220</v>
      </c>
      <c r="U49" s="11" t="n">
        <v>9</v>
      </c>
      <c r="V49" s="12" t="n">
        <v>396</v>
      </c>
      <c r="W49" s="11" t="inlineStr">
        <is>
          <t>AzqH9DV2H2LEsW8T</t>
        </is>
      </c>
      <c r="X49" s="12" t="n">
        <v>199</v>
      </c>
      <c r="Y49" s="11" t="inlineStr">
        <is>
          <t>active</t>
        </is>
      </c>
      <c r="Z49" s="11" t="inlineStr">
        <is>
          <t>gbp</t>
        </is>
      </c>
    </row>
    <row r="50">
      <c r="A50" s="8" t="inlineStr">
        <is>
          <t>2223edcb-30e6-4131-ad63-42d5a3b2d50f</t>
        </is>
      </c>
      <c r="B50" s="8" t="inlineStr">
        <is>
          <t>Gauri Khan Threading</t>
        </is>
      </c>
      <c r="C50" s="23" t="n">
        <v>46066</v>
      </c>
      <c r="D50" s="8" t="inlineStr">
        <is>
          <t>2026-02</t>
        </is>
      </c>
      <c r="E50" s="8" t="b">
        <v>1</v>
      </c>
      <c r="F50" s="8" t="b">
        <v>1</v>
      </c>
      <c r="G50" s="8" t="b">
        <v>1</v>
      </c>
      <c r="H50" s="8" t="b">
        <v>1</v>
      </c>
      <c r="I50" s="8" t="b">
        <v>1</v>
      </c>
      <c r="J50" s="8" t="b">
        <v>0</v>
      </c>
      <c r="K50" s="8" t="b">
        <v>1</v>
      </c>
      <c r="L50" s="8" t="b">
        <v>1</v>
      </c>
      <c r="M50" s="8" t="b">
        <v>1</v>
      </c>
      <c r="N50" s="8" t="b">
        <v>1</v>
      </c>
      <c r="O50" s="8" t="n">
        <v>8</v>
      </c>
      <c r="P50" s="8" t="n">
        <v>8</v>
      </c>
      <c r="Q50" s="8" t="n">
        <v>0</v>
      </c>
      <c r="R50" s="8" t="n"/>
      <c r="S50" s="23" t="n">
        <v>46066</v>
      </c>
      <c r="T50" s="23" t="n">
        <v>46067</v>
      </c>
      <c r="U50" s="8" t="n">
        <v>1</v>
      </c>
      <c r="V50" s="9" t="n">
        <v>90</v>
      </c>
      <c r="W50" s="8" t="n"/>
      <c r="X50" s="9" t="n"/>
      <c r="Y50" s="8" t="n"/>
      <c r="Z50" s="8" t="inlineStr">
        <is>
          <t>gbp_logs</t>
        </is>
      </c>
    </row>
    <row r="51">
      <c r="A51" s="11" t="inlineStr">
        <is>
          <t>5f132fee-bad3-4f76-9c53-4b846a78ee80</t>
        </is>
      </c>
      <c r="B51" s="11" t="inlineStr">
        <is>
          <t>Saxena's spa</t>
        </is>
      </c>
      <c r="C51" s="24" t="n">
        <v>46069</v>
      </c>
      <c r="D51" s="11" t="inlineStr">
        <is>
          <t>2026-02</t>
        </is>
      </c>
      <c r="E51" s="11" t="b">
        <v>1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n">
        <v>0</v>
      </c>
      <c r="P51" s="11" t="n">
        <v>0</v>
      </c>
      <c r="Q51" s="11" t="n">
        <v>0</v>
      </c>
      <c r="R51" s="11" t="n"/>
      <c r="S51" s="24" t="n"/>
      <c r="T51" s="24" t="n"/>
      <c r="U51" s="11" t="n">
        <v>0</v>
      </c>
      <c r="V51" s="12" t="n">
        <v>0</v>
      </c>
      <c r="W51" s="11" t="n"/>
      <c r="X51" s="12" t="n"/>
      <c r="Y51" s="11" t="n"/>
      <c r="Z51" s="11" t="inlineStr">
        <is>
          <t>gbp_logs</t>
        </is>
      </c>
    </row>
    <row r="52">
      <c r="A52" s="8" t="inlineStr">
        <is>
          <t>deb377ee-558f-4ff8-917e-6a8725703b3f</t>
        </is>
      </c>
      <c r="B52" s="8" t="inlineStr">
        <is>
          <t>Natasha super salon</t>
        </is>
      </c>
      <c r="C52" s="23" t="n">
        <v>46069</v>
      </c>
      <c r="D52" s="8" t="inlineStr">
        <is>
          <t>2026-02</t>
        </is>
      </c>
      <c r="E52" s="8" t="b">
        <v>1</v>
      </c>
      <c r="F52" s="8" t="b">
        <v>1</v>
      </c>
      <c r="G52" s="8" t="b">
        <v>1</v>
      </c>
      <c r="H52" s="8" t="b">
        <v>1</v>
      </c>
      <c r="I52" s="8" t="b">
        <v>1</v>
      </c>
      <c r="J52" s="8" t="b">
        <v>0</v>
      </c>
      <c r="K52" s="8" t="b">
        <v>1</v>
      </c>
      <c r="L52" s="8" t="b">
        <v>1</v>
      </c>
      <c r="M52" s="8" t="b">
        <v>1</v>
      </c>
      <c r="N52" s="8" t="b">
        <v>1</v>
      </c>
      <c r="O52" s="8" t="n">
        <v>10</v>
      </c>
      <c r="P52" s="8" t="n">
        <v>10</v>
      </c>
      <c r="Q52" s="8" t="n">
        <v>0</v>
      </c>
      <c r="R52" s="8" t="n"/>
      <c r="S52" s="23" t="n">
        <v>46069</v>
      </c>
      <c r="T52" s="23" t="n">
        <v>46070</v>
      </c>
      <c r="U52" s="8" t="n">
        <v>0</v>
      </c>
      <c r="V52" s="9" t="n">
        <v>0</v>
      </c>
      <c r="W52" s="8" t="n"/>
      <c r="X52" s="9" t="n"/>
      <c r="Y52" s="8" t="n"/>
      <c r="Z52" s="8" t="inlineStr">
        <is>
          <t>gbp_logs</t>
        </is>
      </c>
    </row>
    <row r="53">
      <c r="A53" s="11" t="inlineStr">
        <is>
          <t>b4576719-fbb5-4c71-a074-7d930330c273</t>
        </is>
      </c>
      <c r="B53" s="33" t="inlineStr">
        <is>
          <t>(name not on file)</t>
        </is>
      </c>
      <c r="C53" s="24" t="n">
        <v>46069</v>
      </c>
      <c r="D53" s="11" t="inlineStr">
        <is>
          <t>2026-02</t>
        </is>
      </c>
      <c r="E53" s="11" t="b">
        <v>1</v>
      </c>
      <c r="F53" s="11" t="b">
        <v>1</v>
      </c>
      <c r="G53" s="11" t="b">
        <v>1</v>
      </c>
      <c r="H53" s="11" t="b">
        <v>1</v>
      </c>
      <c r="I53" s="11" t="b">
        <v>1</v>
      </c>
      <c r="J53" s="11" t="b">
        <v>0</v>
      </c>
      <c r="K53" s="11" t="b">
        <v>1</v>
      </c>
      <c r="L53" s="11" t="b">
        <v>1</v>
      </c>
      <c r="M53" s="11" t="b">
        <v>1</v>
      </c>
      <c r="N53" s="11" t="b">
        <v>1</v>
      </c>
      <c r="O53" s="11" t="n">
        <v>10</v>
      </c>
      <c r="P53" s="11" t="n">
        <v>10</v>
      </c>
      <c r="Q53" s="11" t="n">
        <v>0</v>
      </c>
      <c r="R53" s="11" t="n"/>
      <c r="S53" s="24" t="n">
        <v>46069</v>
      </c>
      <c r="T53" s="24" t="n">
        <v>46070</v>
      </c>
      <c r="U53" s="11" t="n">
        <v>0</v>
      </c>
      <c r="V53" s="12" t="n">
        <v>0</v>
      </c>
      <c r="W53" s="11" t="n"/>
      <c r="X53" s="12" t="n"/>
      <c r="Y53" s="11" t="n"/>
      <c r="Z53" s="11" t="inlineStr">
        <is>
          <t>unknown</t>
        </is>
      </c>
    </row>
    <row r="54">
      <c r="A54" s="8" t="inlineStr">
        <is>
          <t>c6df8e71-c5bf-4318-b15b-9e34799ac408</t>
        </is>
      </c>
      <c r="B54" s="8" t="inlineStr">
        <is>
          <t>APUDON GLOSS</t>
        </is>
      </c>
      <c r="C54" s="23" t="n">
        <v>46069</v>
      </c>
      <c r="D54" s="8" t="inlineStr">
        <is>
          <t>2026-02</t>
        </is>
      </c>
      <c r="E54" s="8" t="b">
        <v>1</v>
      </c>
      <c r="F54" s="8" t="b">
        <v>0</v>
      </c>
      <c r="G54" s="8" t="b">
        <v>0</v>
      </c>
      <c r="H54" s="8" t="b">
        <v>0</v>
      </c>
      <c r="I54" s="8" t="b">
        <v>0</v>
      </c>
      <c r="J54" s="8" t="b">
        <v>0</v>
      </c>
      <c r="K54" s="8" t="b">
        <v>0</v>
      </c>
      <c r="L54" s="8" t="b">
        <v>0</v>
      </c>
      <c r="M54" s="8" t="b">
        <v>0</v>
      </c>
      <c r="N54" s="8" t="b">
        <v>0</v>
      </c>
      <c r="O54" s="8" t="n">
        <v>0</v>
      </c>
      <c r="P54" s="8" t="n">
        <v>0</v>
      </c>
      <c r="Q54" s="8" t="n">
        <v>0</v>
      </c>
      <c r="R54" s="8" t="n"/>
      <c r="S54" s="23" t="n"/>
      <c r="T54" s="23" t="n"/>
      <c r="U54" s="8" t="n">
        <v>0</v>
      </c>
      <c r="V54" s="9" t="n">
        <v>0</v>
      </c>
      <c r="W54" s="8" t="n"/>
      <c r="X54" s="9" t="n"/>
      <c r="Y54" s="8" t="n"/>
      <c r="Z54" s="8" t="inlineStr">
        <is>
          <t>gbp</t>
        </is>
      </c>
    </row>
    <row r="55">
      <c r="A55" s="11" t="inlineStr">
        <is>
          <t>1a9df389-238c-4bff-9e58-9ceab264099b</t>
        </is>
      </c>
      <c r="B55" s="11" t="inlineStr">
        <is>
          <t>Elea Hair Salon</t>
        </is>
      </c>
      <c r="C55" s="24" t="n">
        <v>46069</v>
      </c>
      <c r="D55" s="11" t="inlineStr">
        <is>
          <t>2026-02</t>
        </is>
      </c>
      <c r="E55" s="11" t="b">
        <v>1</v>
      </c>
      <c r="F55" s="11" t="b">
        <v>1</v>
      </c>
      <c r="G55" s="11" t="b">
        <v>1</v>
      </c>
      <c r="H55" s="11" t="b">
        <v>1</v>
      </c>
      <c r="I55" s="11" t="b">
        <v>1</v>
      </c>
      <c r="J55" s="11" t="b">
        <v>0</v>
      </c>
      <c r="K55" s="11" t="b">
        <v>1</v>
      </c>
      <c r="L55" s="11" t="b">
        <v>1</v>
      </c>
      <c r="M55" s="11" t="b">
        <v>1</v>
      </c>
      <c r="N55" s="11" t="b">
        <v>1</v>
      </c>
      <c r="O55" s="11" t="n">
        <v>2</v>
      </c>
      <c r="P55" s="11" t="n">
        <v>1</v>
      </c>
      <c r="Q55" s="11" t="n">
        <v>0</v>
      </c>
      <c r="R55" s="11" t="n"/>
      <c r="S55" s="24" t="n">
        <v>46076</v>
      </c>
      <c r="T55" s="24" t="n">
        <v>46146</v>
      </c>
      <c r="U55" s="11" t="n">
        <v>0</v>
      </c>
      <c r="V55" s="12" t="n">
        <v>0</v>
      </c>
      <c r="W55" s="11" t="n"/>
      <c r="X55" s="12" t="n"/>
      <c r="Y55" s="11" t="n"/>
      <c r="Z55" s="11" t="inlineStr">
        <is>
          <t>gbp</t>
        </is>
      </c>
    </row>
    <row r="56">
      <c r="A56" s="8" t="inlineStr">
        <is>
          <t>8857bf8f-37aa-4449-b3df-2390bc0571c1</t>
        </is>
      </c>
      <c r="B56" s="8" t="inlineStr">
        <is>
          <t>Vikings salon</t>
        </is>
      </c>
      <c r="C56" s="23" t="n">
        <v>46069</v>
      </c>
      <c r="D56" s="8" t="inlineStr">
        <is>
          <t>2026-02</t>
        </is>
      </c>
      <c r="E56" s="8" t="b">
        <v>1</v>
      </c>
      <c r="F56" s="8" t="b">
        <v>1</v>
      </c>
      <c r="G56" s="8" t="b">
        <v>1</v>
      </c>
      <c r="H56" s="8" t="b">
        <v>1</v>
      </c>
      <c r="I56" s="8" t="b">
        <v>1</v>
      </c>
      <c r="J56" s="8" t="b">
        <v>0</v>
      </c>
      <c r="K56" s="8" t="b">
        <v>1</v>
      </c>
      <c r="L56" s="8" t="b">
        <v>1</v>
      </c>
      <c r="M56" s="8" t="b">
        <v>1</v>
      </c>
      <c r="N56" s="8" t="b">
        <v>1</v>
      </c>
      <c r="O56" s="8" t="n">
        <v>1</v>
      </c>
      <c r="P56" s="8" t="n">
        <v>1</v>
      </c>
      <c r="Q56" s="8" t="n">
        <v>0</v>
      </c>
      <c r="R56" s="8" t="n"/>
      <c r="S56" s="23" t="n">
        <v>46069</v>
      </c>
      <c r="T56" s="23" t="n">
        <v>46069</v>
      </c>
      <c r="U56" s="8" t="n">
        <v>0</v>
      </c>
      <c r="V56" s="9" t="n">
        <v>0</v>
      </c>
      <c r="W56" s="8" t="n"/>
      <c r="X56" s="9" t="n"/>
      <c r="Y56" s="8" t="n"/>
      <c r="Z56" s="8" t="inlineStr">
        <is>
          <t>gbp</t>
        </is>
      </c>
    </row>
    <row r="57">
      <c r="A57" s="11" t="inlineStr">
        <is>
          <t>057bd190-669e-4fc4-b5b1-814d5f806efc</t>
        </is>
      </c>
      <c r="B57" s="11" t="inlineStr">
        <is>
          <t>Flanker42 Data Solutions</t>
        </is>
      </c>
      <c r="C57" s="24" t="n">
        <v>46069</v>
      </c>
      <c r="D57" s="11" t="inlineStr">
        <is>
          <t>2026-02</t>
        </is>
      </c>
      <c r="E57" s="11" t="b">
        <v>1</v>
      </c>
      <c r="F57" s="11" t="b">
        <v>1</v>
      </c>
      <c r="G57" s="11" t="b">
        <v>1</v>
      </c>
      <c r="H57" s="11" t="b">
        <v>1</v>
      </c>
      <c r="I57" s="11" t="b">
        <v>1</v>
      </c>
      <c r="J57" s="11" t="b">
        <v>0</v>
      </c>
      <c r="K57" s="11" t="b">
        <v>1</v>
      </c>
      <c r="L57" s="11" t="b">
        <v>1</v>
      </c>
      <c r="M57" s="11" t="b">
        <v>1</v>
      </c>
      <c r="N57" s="11" t="b">
        <v>1</v>
      </c>
      <c r="O57" s="11" t="n">
        <v>0</v>
      </c>
      <c r="P57" s="11" t="n">
        <v>0</v>
      </c>
      <c r="Q57" s="11" t="n">
        <v>0</v>
      </c>
      <c r="R57" s="11" t="n"/>
      <c r="S57" s="24" t="n"/>
      <c r="T57" s="24" t="n"/>
      <c r="U57" s="11" t="n">
        <v>0</v>
      </c>
      <c r="V57" s="12" t="n">
        <v>0</v>
      </c>
      <c r="W57" s="11" t="n"/>
      <c r="X57" s="12" t="n"/>
      <c r="Y57" s="11" t="n"/>
      <c r="Z57" s="11" t="inlineStr">
        <is>
          <t>gbp_logs</t>
        </is>
      </c>
    </row>
    <row r="58">
      <c r="A58" s="8" t="inlineStr">
        <is>
          <t>d0803500-603f-4fcd-8a21-c643ecbde37c</t>
        </is>
      </c>
      <c r="B58" s="8" t="inlineStr">
        <is>
          <t>Kanak'sKaya</t>
        </is>
      </c>
      <c r="C58" s="23" t="n">
        <v>46069</v>
      </c>
      <c r="D58" s="8" t="inlineStr">
        <is>
          <t>2026-02</t>
        </is>
      </c>
      <c r="E58" s="8" t="b">
        <v>1</v>
      </c>
      <c r="F58" s="8" t="b">
        <v>1</v>
      </c>
      <c r="G58" s="8" t="b">
        <v>1</v>
      </c>
      <c r="H58" s="8" t="b">
        <v>1</v>
      </c>
      <c r="I58" s="8" t="b">
        <v>1</v>
      </c>
      <c r="J58" s="8" t="b">
        <v>0</v>
      </c>
      <c r="K58" s="8" t="b">
        <v>1</v>
      </c>
      <c r="L58" s="8" t="b">
        <v>1</v>
      </c>
      <c r="M58" s="8" t="b">
        <v>1</v>
      </c>
      <c r="N58" s="8" t="b">
        <v>1</v>
      </c>
      <c r="O58" s="8" t="n">
        <v>6</v>
      </c>
      <c r="P58" s="8" t="n">
        <v>0</v>
      </c>
      <c r="Q58" s="8" t="n">
        <v>0</v>
      </c>
      <c r="R58" s="8" t="n"/>
      <c r="S58" s="23" t="n">
        <v>46100</v>
      </c>
      <c r="T58" s="23" t="n">
        <v>46210</v>
      </c>
      <c r="U58" s="8" t="n">
        <v>0</v>
      </c>
      <c r="V58" s="9" t="n">
        <v>0</v>
      </c>
      <c r="W58" s="8" t="n"/>
      <c r="X58" s="9" t="n"/>
      <c r="Y58" s="8" t="n"/>
      <c r="Z58" s="8" t="inlineStr">
        <is>
          <t>gbp</t>
        </is>
      </c>
    </row>
    <row r="59">
      <c r="A59" s="11" t="inlineStr">
        <is>
          <t>f4e8b9a9-46e1-479f-9f79-6d0f56fe0c74</t>
        </is>
      </c>
      <c r="B59" s="11" t="inlineStr">
        <is>
          <t>Furiends Pet Salon</t>
        </is>
      </c>
      <c r="C59" s="24" t="n">
        <v>46069</v>
      </c>
      <c r="D59" s="11" t="inlineStr">
        <is>
          <t>2026-02</t>
        </is>
      </c>
      <c r="E59" s="11" t="b">
        <v>1</v>
      </c>
      <c r="F59" s="11" t="b">
        <v>1</v>
      </c>
      <c r="G59" s="11" t="b">
        <v>1</v>
      </c>
      <c r="H59" s="11" t="b">
        <v>1</v>
      </c>
      <c r="I59" s="11" t="b">
        <v>1</v>
      </c>
      <c r="J59" s="11" t="b">
        <v>0</v>
      </c>
      <c r="K59" s="11" t="b">
        <v>1</v>
      </c>
      <c r="L59" s="11" t="b">
        <v>1</v>
      </c>
      <c r="M59" s="11" t="b">
        <v>1</v>
      </c>
      <c r="N59" s="11" t="b">
        <v>1</v>
      </c>
      <c r="O59" s="11" t="n">
        <v>1</v>
      </c>
      <c r="P59" s="11" t="n">
        <v>1</v>
      </c>
      <c r="Q59" s="11" t="n">
        <v>0</v>
      </c>
      <c r="R59" s="11" t="n"/>
      <c r="S59" s="24" t="n">
        <v>46069</v>
      </c>
      <c r="T59" s="24" t="n">
        <v>46069</v>
      </c>
      <c r="U59" s="11" t="n">
        <v>0</v>
      </c>
      <c r="V59" s="12" t="n">
        <v>0</v>
      </c>
      <c r="W59" s="11" t="n"/>
      <c r="X59" s="12" t="n"/>
      <c r="Y59" s="11" t="n"/>
      <c r="Z59" s="11" t="inlineStr">
        <is>
          <t>gbp</t>
        </is>
      </c>
    </row>
    <row r="60">
      <c r="A60" s="8" t="inlineStr">
        <is>
          <t>944015d3-4946-455b-81b1-50c191c065fe</t>
        </is>
      </c>
      <c r="B60" s="8" t="inlineStr">
        <is>
          <t>Chetan Beauty Salon</t>
        </is>
      </c>
      <c r="C60" s="23" t="n">
        <v>46069</v>
      </c>
      <c r="D60" s="8" t="inlineStr">
        <is>
          <t>2026-02</t>
        </is>
      </c>
      <c r="E60" s="8" t="b">
        <v>1</v>
      </c>
      <c r="F60" s="8" t="b">
        <v>1</v>
      </c>
      <c r="G60" s="8" t="b">
        <v>1</v>
      </c>
      <c r="H60" s="8" t="b">
        <v>1</v>
      </c>
      <c r="I60" s="8" t="b">
        <v>1</v>
      </c>
      <c r="J60" s="8" t="b">
        <v>0</v>
      </c>
      <c r="K60" s="8" t="b">
        <v>1</v>
      </c>
      <c r="L60" s="8" t="b">
        <v>1</v>
      </c>
      <c r="M60" s="8" t="b">
        <v>1</v>
      </c>
      <c r="N60" s="8" t="b">
        <v>1</v>
      </c>
      <c r="O60" s="8" t="n">
        <v>0</v>
      </c>
      <c r="P60" s="8" t="n">
        <v>0</v>
      </c>
      <c r="Q60" s="8" t="n">
        <v>0</v>
      </c>
      <c r="R60" s="8" t="n"/>
      <c r="S60" s="23" t="n"/>
      <c r="T60" s="23" t="n"/>
      <c r="U60" s="8" t="n">
        <v>0</v>
      </c>
      <c r="V60" s="9" t="n">
        <v>0</v>
      </c>
      <c r="W60" s="8" t="n"/>
      <c r="X60" s="9" t="n"/>
      <c r="Y60" s="8" t="n"/>
      <c r="Z60" s="8" t="inlineStr">
        <is>
          <t>gbp_logs</t>
        </is>
      </c>
    </row>
    <row r="61">
      <c r="A61" s="11" t="inlineStr">
        <is>
          <t>c70eb5a6-8f52-446c-b67b-49560bbea6ae</t>
        </is>
      </c>
      <c r="B61" s="11" t="inlineStr">
        <is>
          <t>Hubern's Hair Salon</t>
        </is>
      </c>
      <c r="C61" s="24" t="n">
        <v>46069</v>
      </c>
      <c r="D61" s="11" t="inlineStr">
        <is>
          <t>2026-02</t>
        </is>
      </c>
      <c r="E61" s="11" t="b">
        <v>1</v>
      </c>
      <c r="F61" s="11" t="b">
        <v>1</v>
      </c>
      <c r="G61" s="11" t="b">
        <v>1</v>
      </c>
      <c r="H61" s="11" t="b">
        <v>1</v>
      </c>
      <c r="I61" s="11" t="b">
        <v>1</v>
      </c>
      <c r="J61" s="11" t="b">
        <v>0</v>
      </c>
      <c r="K61" s="11" t="b">
        <v>1</v>
      </c>
      <c r="L61" s="11" t="b">
        <v>1</v>
      </c>
      <c r="M61" s="11" t="b">
        <v>1</v>
      </c>
      <c r="N61" s="11" t="b">
        <v>1</v>
      </c>
      <c r="O61" s="11" t="n">
        <v>0</v>
      </c>
      <c r="P61" s="11" t="n">
        <v>0</v>
      </c>
      <c r="Q61" s="11" t="n">
        <v>0</v>
      </c>
      <c r="R61" s="11" t="n"/>
      <c r="S61" s="24" t="n"/>
      <c r="T61" s="24" t="n"/>
      <c r="U61" s="11" t="n">
        <v>0</v>
      </c>
      <c r="V61" s="12" t="n">
        <v>0</v>
      </c>
      <c r="W61" s="11" t="n"/>
      <c r="X61" s="12" t="n"/>
      <c r="Y61" s="11" t="n"/>
      <c r="Z61" s="11" t="inlineStr">
        <is>
          <t>gbp</t>
        </is>
      </c>
    </row>
    <row r="62">
      <c r="A62" s="8" t="inlineStr">
        <is>
          <t>596bd62f-ea2d-4ce2-a44b-bc7c8888b034</t>
        </is>
      </c>
      <c r="B62" s="8" t="inlineStr">
        <is>
          <t>MUTO salon</t>
        </is>
      </c>
      <c r="C62" s="23" t="n">
        <v>46069</v>
      </c>
      <c r="D62" s="8" t="inlineStr">
        <is>
          <t>2026-02</t>
        </is>
      </c>
      <c r="E62" s="8" t="b">
        <v>1</v>
      </c>
      <c r="F62" s="8" t="b">
        <v>1</v>
      </c>
      <c r="G62" s="8" t="b">
        <v>1</v>
      </c>
      <c r="H62" s="8" t="b">
        <v>1</v>
      </c>
      <c r="I62" s="8" t="b">
        <v>1</v>
      </c>
      <c r="J62" s="8" t="b">
        <v>0</v>
      </c>
      <c r="K62" s="8" t="b">
        <v>1</v>
      </c>
      <c r="L62" s="8" t="b">
        <v>1</v>
      </c>
      <c r="M62" s="8" t="b">
        <v>1</v>
      </c>
      <c r="N62" s="8" t="b">
        <v>1</v>
      </c>
      <c r="O62" s="8" t="n">
        <v>0</v>
      </c>
      <c r="P62" s="8" t="n">
        <v>0</v>
      </c>
      <c r="Q62" s="8" t="n">
        <v>0</v>
      </c>
      <c r="R62" s="8" t="n"/>
      <c r="S62" s="23" t="n"/>
      <c r="T62" s="23" t="n"/>
      <c r="U62" s="8" t="n">
        <v>0</v>
      </c>
      <c r="V62" s="9" t="n">
        <v>0</v>
      </c>
      <c r="W62" s="8" t="n"/>
      <c r="X62" s="9" t="n"/>
      <c r="Y62" s="8" t="n"/>
      <c r="Z62" s="8" t="inlineStr">
        <is>
          <t>gbp</t>
        </is>
      </c>
    </row>
    <row r="63">
      <c r="A63" s="11" t="inlineStr">
        <is>
          <t>2e5da6d2-b27e-4cfc-8cd5-9af10f425b72</t>
        </is>
      </c>
      <c r="B63" s="11" t="inlineStr">
        <is>
          <t>BB Salon</t>
        </is>
      </c>
      <c r="C63" s="24" t="n">
        <v>46069</v>
      </c>
      <c r="D63" s="11" t="inlineStr">
        <is>
          <t>2026-02</t>
        </is>
      </c>
      <c r="E63" s="11" t="b">
        <v>1</v>
      </c>
      <c r="F63" s="11" t="b">
        <v>1</v>
      </c>
      <c r="G63" s="11" t="b">
        <v>1</v>
      </c>
      <c r="H63" s="11" t="b">
        <v>1</v>
      </c>
      <c r="I63" s="11" t="b">
        <v>1</v>
      </c>
      <c r="J63" s="11" t="b">
        <v>0</v>
      </c>
      <c r="K63" s="11" t="b">
        <v>1</v>
      </c>
      <c r="L63" s="11" t="b">
        <v>1</v>
      </c>
      <c r="M63" s="11" t="b">
        <v>1</v>
      </c>
      <c r="N63" s="11" t="b">
        <v>1</v>
      </c>
      <c r="O63" s="11" t="n">
        <v>3</v>
      </c>
      <c r="P63" s="11" t="n">
        <v>0</v>
      </c>
      <c r="Q63" s="11" t="n">
        <v>0</v>
      </c>
      <c r="R63" s="11" t="n"/>
      <c r="S63" s="24" t="n">
        <v>46129</v>
      </c>
      <c r="T63" s="24" t="n">
        <v>46142</v>
      </c>
      <c r="U63" s="11" t="n">
        <v>0</v>
      </c>
      <c r="V63" s="12" t="n">
        <v>0</v>
      </c>
      <c r="W63" s="11" t="n"/>
      <c r="X63" s="12" t="n"/>
      <c r="Y63" s="11" t="n"/>
      <c r="Z63" s="11" t="inlineStr">
        <is>
          <t>gbp</t>
        </is>
      </c>
    </row>
    <row r="64">
      <c r="A64" s="8" t="inlineStr">
        <is>
          <t>b437c301-371b-45b7-8b9b-d82f78e6a14d</t>
        </is>
      </c>
      <c r="B64" s="34" t="inlineStr">
        <is>
          <t>(name not on file)</t>
        </is>
      </c>
      <c r="C64" s="23" t="n">
        <v>46069</v>
      </c>
      <c r="D64" s="8" t="inlineStr">
        <is>
          <t>2026-02</t>
        </is>
      </c>
      <c r="E64" s="8" t="b">
        <v>1</v>
      </c>
      <c r="F64" s="8" t="b">
        <v>1</v>
      </c>
      <c r="G64" s="8" t="b">
        <v>1</v>
      </c>
      <c r="H64" s="8" t="b">
        <v>1</v>
      </c>
      <c r="I64" s="8" t="b">
        <v>1</v>
      </c>
      <c r="J64" s="8" t="b">
        <v>0</v>
      </c>
      <c r="K64" s="8" t="b">
        <v>1</v>
      </c>
      <c r="L64" s="8" t="b">
        <v>1</v>
      </c>
      <c r="M64" s="8" t="b">
        <v>1</v>
      </c>
      <c r="N64" s="8" t="b">
        <v>1</v>
      </c>
      <c r="O64" s="8" t="n">
        <v>0</v>
      </c>
      <c r="P64" s="8" t="n">
        <v>0</v>
      </c>
      <c r="Q64" s="8" t="n">
        <v>0</v>
      </c>
      <c r="R64" s="8" t="n"/>
      <c r="S64" s="23" t="n"/>
      <c r="T64" s="23" t="n"/>
      <c r="U64" s="8" t="n">
        <v>0</v>
      </c>
      <c r="V64" s="9" t="n">
        <v>0</v>
      </c>
      <c r="W64" s="8" t="n"/>
      <c r="X64" s="9" t="n"/>
      <c r="Y64" s="8" t="n"/>
      <c r="Z64" s="8" t="inlineStr">
        <is>
          <t>unknown</t>
        </is>
      </c>
    </row>
    <row r="65">
      <c r="A65" s="11" t="inlineStr">
        <is>
          <t>7e3f3474-2872-4e9c-8127-b50b5d9550b0</t>
        </is>
      </c>
      <c r="B65" s="33" t="inlineStr">
        <is>
          <t>(name not on file)</t>
        </is>
      </c>
      <c r="C65" s="24" t="n">
        <v>46070</v>
      </c>
      <c r="D65" s="11" t="inlineStr">
        <is>
          <t>2026-02</t>
        </is>
      </c>
      <c r="E65" s="11" t="b">
        <v>1</v>
      </c>
      <c r="F65" s="11" t="b">
        <v>1</v>
      </c>
      <c r="G65" s="11" t="b">
        <v>1</v>
      </c>
      <c r="H65" s="11" t="b">
        <v>1</v>
      </c>
      <c r="I65" s="11" t="b">
        <v>1</v>
      </c>
      <c r="J65" s="11" t="b">
        <v>0</v>
      </c>
      <c r="K65" s="11" t="b">
        <v>1</v>
      </c>
      <c r="L65" s="11" t="b">
        <v>1</v>
      </c>
      <c r="M65" s="11" t="b">
        <v>1</v>
      </c>
      <c r="N65" s="11" t="b">
        <v>1</v>
      </c>
      <c r="O65" s="11" t="n">
        <v>2</v>
      </c>
      <c r="P65" s="11" t="n">
        <v>2</v>
      </c>
      <c r="Q65" s="11" t="n">
        <v>0</v>
      </c>
      <c r="R65" s="11" t="n"/>
      <c r="S65" s="24" t="n">
        <v>46070</v>
      </c>
      <c r="T65" s="24" t="n">
        <v>46070</v>
      </c>
      <c r="U65" s="11" t="n">
        <v>0</v>
      </c>
      <c r="V65" s="12" t="n">
        <v>0</v>
      </c>
      <c r="W65" s="11" t="n"/>
      <c r="X65" s="12" t="n"/>
      <c r="Y65" s="11" t="n"/>
      <c r="Z65" s="11" t="inlineStr">
        <is>
          <t>unknown</t>
        </is>
      </c>
    </row>
    <row r="66">
      <c r="A66" s="8" t="inlineStr">
        <is>
          <t>01574329-949e-4df4-9a4c-429f61c2ec0c</t>
        </is>
      </c>
      <c r="B66" s="8" t="inlineStr">
        <is>
          <t>Saxena Consultancy</t>
        </is>
      </c>
      <c r="C66" s="23" t="n">
        <v>46070</v>
      </c>
      <c r="D66" s="8" t="inlineStr">
        <is>
          <t>2026-02</t>
        </is>
      </c>
      <c r="E66" s="8" t="b">
        <v>1</v>
      </c>
      <c r="F66" s="8" t="b">
        <v>1</v>
      </c>
      <c r="G66" s="8" t="b">
        <v>1</v>
      </c>
      <c r="H66" s="8" t="b">
        <v>1</v>
      </c>
      <c r="I66" s="8" t="b">
        <v>1</v>
      </c>
      <c r="J66" s="8" t="b">
        <v>0</v>
      </c>
      <c r="K66" s="8" t="b">
        <v>1</v>
      </c>
      <c r="L66" s="8" t="b">
        <v>1</v>
      </c>
      <c r="M66" s="8" t="b">
        <v>1</v>
      </c>
      <c r="N66" s="8" t="b">
        <v>1</v>
      </c>
      <c r="O66" s="8" t="n">
        <v>4</v>
      </c>
      <c r="P66" s="8" t="n">
        <v>4</v>
      </c>
      <c r="Q66" s="8" t="n">
        <v>0</v>
      </c>
      <c r="R66" s="8" t="n"/>
      <c r="S66" s="23" t="n">
        <v>46070</v>
      </c>
      <c r="T66" s="23" t="n">
        <v>46070</v>
      </c>
      <c r="U66" s="8" t="n">
        <v>0</v>
      </c>
      <c r="V66" s="9" t="n">
        <v>0</v>
      </c>
      <c r="W66" s="8" t="n"/>
      <c r="X66" s="9" t="n"/>
      <c r="Y66" s="8" t="n"/>
      <c r="Z66" s="8" t="inlineStr">
        <is>
          <t>gbp_logs</t>
        </is>
      </c>
    </row>
    <row r="67">
      <c r="A67" s="11" t="inlineStr">
        <is>
          <t>90f08be7-5e18-468b-bfc1-70908389b793</t>
        </is>
      </c>
      <c r="B67" s="11" t="inlineStr">
        <is>
          <t>Gauri Khan Threading</t>
        </is>
      </c>
      <c r="C67" s="24" t="n">
        <v>46070</v>
      </c>
      <c r="D67" s="11" t="inlineStr">
        <is>
          <t>2026-02</t>
        </is>
      </c>
      <c r="E67" s="11" t="b">
        <v>1</v>
      </c>
      <c r="F67" s="11" t="b">
        <v>1</v>
      </c>
      <c r="G67" s="11" t="b">
        <v>1</v>
      </c>
      <c r="H67" s="11" t="b">
        <v>1</v>
      </c>
      <c r="I67" s="11" t="b">
        <v>1</v>
      </c>
      <c r="J67" s="11" t="b">
        <v>0</v>
      </c>
      <c r="K67" s="11" t="b">
        <v>1</v>
      </c>
      <c r="L67" s="11" t="b">
        <v>1</v>
      </c>
      <c r="M67" s="11" t="b">
        <v>1</v>
      </c>
      <c r="N67" s="11" t="b">
        <v>1</v>
      </c>
      <c r="O67" s="11" t="n">
        <v>1</v>
      </c>
      <c r="P67" s="11" t="n">
        <v>1</v>
      </c>
      <c r="Q67" s="11" t="n">
        <v>0</v>
      </c>
      <c r="R67" s="11" t="n"/>
      <c r="S67" s="24" t="n">
        <v>46070</v>
      </c>
      <c r="T67" s="24" t="n">
        <v>46070</v>
      </c>
      <c r="U67" s="11" t="n">
        <v>0</v>
      </c>
      <c r="V67" s="12" t="n">
        <v>0</v>
      </c>
      <c r="W67" s="11" t="n"/>
      <c r="X67" s="12" t="n"/>
      <c r="Y67" s="11" t="n"/>
      <c r="Z67" s="11" t="inlineStr">
        <is>
          <t>gbp_logs</t>
        </is>
      </c>
    </row>
    <row r="68">
      <c r="A68" s="8" t="inlineStr">
        <is>
          <t>383a7fdd-b410-414b-a3db-82c1774616fb</t>
        </is>
      </c>
      <c r="B68" s="8" t="inlineStr">
        <is>
          <t>Hair By Camille</t>
        </is>
      </c>
      <c r="C68" s="23" t="n">
        <v>46070</v>
      </c>
      <c r="D68" s="8" t="inlineStr">
        <is>
          <t>2026-02</t>
        </is>
      </c>
      <c r="E68" s="8" t="b">
        <v>1</v>
      </c>
      <c r="F68" s="8" t="b">
        <v>1</v>
      </c>
      <c r="G68" s="8" t="b">
        <v>1</v>
      </c>
      <c r="H68" s="8" t="b">
        <v>1</v>
      </c>
      <c r="I68" s="8" t="b">
        <v>1</v>
      </c>
      <c r="J68" s="8" t="b">
        <v>1</v>
      </c>
      <c r="K68" s="8" t="b">
        <v>0</v>
      </c>
      <c r="L68" s="8" t="b">
        <v>1</v>
      </c>
      <c r="M68" s="8" t="b">
        <v>1</v>
      </c>
      <c r="N68" s="8" t="b">
        <v>1</v>
      </c>
      <c r="O68" s="8" t="n">
        <v>605</v>
      </c>
      <c r="P68" s="8" t="n">
        <v>48</v>
      </c>
      <c r="Q68" s="8" t="n">
        <v>0</v>
      </c>
      <c r="R68" s="8" t="n"/>
      <c r="S68" s="23" t="n">
        <v>45658</v>
      </c>
      <c r="T68" s="23" t="n">
        <v>46237</v>
      </c>
      <c r="U68" s="8" t="n">
        <v>0</v>
      </c>
      <c r="V68" s="9" t="n">
        <v>0</v>
      </c>
      <c r="W68" s="8" t="inlineStr">
        <is>
          <t>cus_RiJ2uhBiBlg9ZH</t>
        </is>
      </c>
      <c r="X68" s="9" t="n">
        <v>179</v>
      </c>
      <c r="Y68" s="8" t="inlineStr">
        <is>
          <t>active</t>
        </is>
      </c>
      <c r="Z68" s="8" t="inlineStr">
        <is>
          <t>gbp</t>
        </is>
      </c>
    </row>
    <row r="69">
      <c r="A69" s="11" t="inlineStr">
        <is>
          <t>3be18092-1615-4c48-915c-f83e8ba38950</t>
        </is>
      </c>
      <c r="B69" s="11" t="inlineStr">
        <is>
          <t>Om salon Uni Hair cut</t>
        </is>
      </c>
      <c r="C69" s="24" t="n">
        <v>46071</v>
      </c>
      <c r="D69" s="11" t="inlineStr">
        <is>
          <t>2026-02</t>
        </is>
      </c>
      <c r="E69" s="11" t="b">
        <v>1</v>
      </c>
      <c r="F69" s="11" t="b">
        <v>1</v>
      </c>
      <c r="G69" s="11" t="b">
        <v>1</v>
      </c>
      <c r="H69" s="11" t="b">
        <v>1</v>
      </c>
      <c r="I69" s="11" t="b">
        <v>1</v>
      </c>
      <c r="J69" s="11" t="b">
        <v>0</v>
      </c>
      <c r="K69" s="11" t="b">
        <v>1</v>
      </c>
      <c r="L69" s="11" t="b">
        <v>1</v>
      </c>
      <c r="M69" s="11" t="b">
        <v>1</v>
      </c>
      <c r="N69" s="11" t="b">
        <v>1</v>
      </c>
      <c r="O69" s="11" t="n">
        <v>3</v>
      </c>
      <c r="P69" s="11" t="n">
        <v>3</v>
      </c>
      <c r="Q69" s="11" t="n">
        <v>0</v>
      </c>
      <c r="R69" s="11" t="n"/>
      <c r="S69" s="24" t="n">
        <v>46071</v>
      </c>
      <c r="T69" s="24" t="n">
        <v>46071</v>
      </c>
      <c r="U69" s="11" t="n">
        <v>0</v>
      </c>
      <c r="V69" s="12" t="n">
        <v>0</v>
      </c>
      <c r="W69" s="11" t="n"/>
      <c r="X69" s="12" t="n"/>
      <c r="Y69" s="11" t="n"/>
      <c r="Z69" s="11" t="inlineStr">
        <is>
          <t>gbp_logs</t>
        </is>
      </c>
    </row>
    <row r="70">
      <c r="A70" s="8" t="inlineStr">
        <is>
          <t>71a02eb8-ece7-43a2-952a-4554295a5207</t>
        </is>
      </c>
      <c r="B70" s="34" t="inlineStr">
        <is>
          <t>(name not on file)</t>
        </is>
      </c>
      <c r="C70" s="23" t="n">
        <v>46071</v>
      </c>
      <c r="D70" s="8" t="inlineStr">
        <is>
          <t>2026-02</t>
        </is>
      </c>
      <c r="E70" s="8" t="b">
        <v>1</v>
      </c>
      <c r="F70" s="8" t="b">
        <v>1</v>
      </c>
      <c r="G70" s="8" t="b">
        <v>1</v>
      </c>
      <c r="H70" s="8" t="b">
        <v>1</v>
      </c>
      <c r="I70" s="8" t="b">
        <v>1</v>
      </c>
      <c r="J70" s="8" t="b">
        <v>0</v>
      </c>
      <c r="K70" s="8" t="b">
        <v>1</v>
      </c>
      <c r="L70" s="8" t="b">
        <v>1</v>
      </c>
      <c r="M70" s="8" t="b">
        <v>1</v>
      </c>
      <c r="N70" s="8" t="b">
        <v>1</v>
      </c>
      <c r="O70" s="8" t="n">
        <v>1</v>
      </c>
      <c r="P70" s="8" t="n">
        <v>1</v>
      </c>
      <c r="Q70" s="8" t="n">
        <v>0</v>
      </c>
      <c r="R70" s="8" t="n"/>
      <c r="S70" s="23" t="n">
        <v>46071</v>
      </c>
      <c r="T70" s="23" t="n">
        <v>46071</v>
      </c>
      <c r="U70" s="8" t="n">
        <v>0</v>
      </c>
      <c r="V70" s="9" t="n">
        <v>0</v>
      </c>
      <c r="W70" s="8" t="n"/>
      <c r="X70" s="9" t="n"/>
      <c r="Y70" s="8" t="n"/>
      <c r="Z70" s="8" t="inlineStr">
        <is>
          <t>unknown</t>
        </is>
      </c>
    </row>
    <row r="71">
      <c r="A71" s="11" t="inlineStr">
        <is>
          <t>d4b0001a-028f-492d-bf2e-cbf163c4756c</t>
        </is>
      </c>
      <c r="B71" s="33" t="inlineStr">
        <is>
          <t>(name not on file)</t>
        </is>
      </c>
      <c r="C71" s="24" t="n">
        <v>46071</v>
      </c>
      <c r="D71" s="11" t="inlineStr">
        <is>
          <t>2026-02</t>
        </is>
      </c>
      <c r="E71" s="11" t="b">
        <v>1</v>
      </c>
      <c r="F71" s="11" t="b">
        <v>1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n">
        <v>0</v>
      </c>
      <c r="P71" s="11" t="n">
        <v>0</v>
      </c>
      <c r="Q71" s="11" t="n">
        <v>0</v>
      </c>
      <c r="R71" s="11" t="n"/>
      <c r="S71" s="24" t="n"/>
      <c r="T71" s="24" t="n"/>
      <c r="U71" s="11" t="n">
        <v>0</v>
      </c>
      <c r="V71" s="12" t="n">
        <v>0</v>
      </c>
      <c r="W71" s="11" t="n"/>
      <c r="X71" s="12" t="n"/>
      <c r="Y71" s="11" t="n"/>
      <c r="Z71" s="11" t="inlineStr">
        <is>
          <t>unknown</t>
        </is>
      </c>
    </row>
    <row r="72">
      <c r="A72" s="8" t="inlineStr">
        <is>
          <t>4a056532-3362-4689-b3b5-36bc43cc5150</t>
        </is>
      </c>
      <c r="B72" s="8" t="inlineStr">
        <is>
          <t>Saxena's spa</t>
        </is>
      </c>
      <c r="C72" s="23" t="n">
        <v>46072</v>
      </c>
      <c r="D72" s="8" t="inlineStr">
        <is>
          <t>2026-02</t>
        </is>
      </c>
      <c r="E72" s="8" t="b">
        <v>1</v>
      </c>
      <c r="F72" s="8" t="b">
        <v>1</v>
      </c>
      <c r="G72" s="8" t="b">
        <v>1</v>
      </c>
      <c r="H72" s="8" t="b">
        <v>1</v>
      </c>
      <c r="I72" s="8" t="b">
        <v>1</v>
      </c>
      <c r="J72" s="8" t="b">
        <v>0</v>
      </c>
      <c r="K72" s="8" t="b">
        <v>1</v>
      </c>
      <c r="L72" s="8" t="b">
        <v>1</v>
      </c>
      <c r="M72" s="8" t="b">
        <v>1</v>
      </c>
      <c r="N72" s="8" t="b">
        <v>1</v>
      </c>
      <c r="O72" s="8" t="n">
        <v>4</v>
      </c>
      <c r="P72" s="8" t="n">
        <v>4</v>
      </c>
      <c r="Q72" s="8" t="n">
        <v>0</v>
      </c>
      <c r="R72" s="8" t="n"/>
      <c r="S72" s="23" t="n">
        <v>46072</v>
      </c>
      <c r="T72" s="23" t="n">
        <v>46072</v>
      </c>
      <c r="U72" s="8" t="n">
        <v>0</v>
      </c>
      <c r="V72" s="9" t="n">
        <v>0</v>
      </c>
      <c r="W72" s="8" t="n"/>
      <c r="X72" s="9" t="n"/>
      <c r="Y72" s="8" t="n"/>
      <c r="Z72" s="8" t="inlineStr">
        <is>
          <t>gbp_logs</t>
        </is>
      </c>
    </row>
    <row r="73">
      <c r="A73" s="11" t="inlineStr">
        <is>
          <t>cee7df4b-ba3b-43df-858d-9304187b4723</t>
        </is>
      </c>
      <c r="B73" s="11" t="inlineStr">
        <is>
          <t>Natasha super salon</t>
        </is>
      </c>
      <c r="C73" s="24" t="n">
        <v>46072</v>
      </c>
      <c r="D73" s="11" t="inlineStr">
        <is>
          <t>2026-02</t>
        </is>
      </c>
      <c r="E73" s="11" t="b">
        <v>1</v>
      </c>
      <c r="F73" s="11" t="b">
        <v>1</v>
      </c>
      <c r="G73" s="11" t="b">
        <v>1</v>
      </c>
      <c r="H73" s="11" t="b">
        <v>1</v>
      </c>
      <c r="I73" s="11" t="b">
        <v>1</v>
      </c>
      <c r="J73" s="11" t="b">
        <v>0</v>
      </c>
      <c r="K73" s="11" t="b">
        <v>1</v>
      </c>
      <c r="L73" s="11" t="b">
        <v>1</v>
      </c>
      <c r="M73" s="11" t="b">
        <v>1</v>
      </c>
      <c r="N73" s="11" t="b">
        <v>1</v>
      </c>
      <c r="O73" s="11" t="n">
        <v>2</v>
      </c>
      <c r="P73" s="11" t="n">
        <v>2</v>
      </c>
      <c r="Q73" s="11" t="n">
        <v>0</v>
      </c>
      <c r="R73" s="11" t="n"/>
      <c r="S73" s="24" t="n">
        <v>46072</v>
      </c>
      <c r="T73" s="24" t="n">
        <v>46073</v>
      </c>
      <c r="U73" s="11" t="n">
        <v>0</v>
      </c>
      <c r="V73" s="12" t="n">
        <v>0</v>
      </c>
      <c r="W73" s="11" t="n"/>
      <c r="X73" s="12" t="n"/>
      <c r="Y73" s="11" t="n"/>
      <c r="Z73" s="11" t="inlineStr">
        <is>
          <t>gbp_logs</t>
        </is>
      </c>
    </row>
    <row r="74">
      <c r="A74" s="8" t="inlineStr">
        <is>
          <t>e18a07a4-c625-4130-b7b1-9c30dadfd462</t>
        </is>
      </c>
      <c r="B74" s="34" t="inlineStr">
        <is>
          <t>(name not on file)</t>
        </is>
      </c>
      <c r="C74" s="23" t="n">
        <v>46072</v>
      </c>
      <c r="D74" s="8" t="inlineStr">
        <is>
          <t>2026-02</t>
        </is>
      </c>
      <c r="E74" s="8" t="b">
        <v>1</v>
      </c>
      <c r="F74" s="8" t="b">
        <v>1</v>
      </c>
      <c r="G74" s="8" t="b">
        <v>1</v>
      </c>
      <c r="H74" s="8" t="b">
        <v>1</v>
      </c>
      <c r="I74" s="8" t="b">
        <v>1</v>
      </c>
      <c r="J74" s="8" t="b">
        <v>0</v>
      </c>
      <c r="K74" s="8" t="b">
        <v>1</v>
      </c>
      <c r="L74" s="8" t="b">
        <v>1</v>
      </c>
      <c r="M74" s="8" t="b">
        <v>1</v>
      </c>
      <c r="N74" s="8" t="b">
        <v>1</v>
      </c>
      <c r="O74" s="8" t="n">
        <v>6</v>
      </c>
      <c r="P74" s="8" t="n">
        <v>6</v>
      </c>
      <c r="Q74" s="8" t="n">
        <v>0</v>
      </c>
      <c r="R74" s="8" t="n"/>
      <c r="S74" s="23" t="n">
        <v>46072</v>
      </c>
      <c r="T74" s="23" t="n">
        <v>46073</v>
      </c>
      <c r="U74" s="8" t="n">
        <v>0</v>
      </c>
      <c r="V74" s="9" t="n">
        <v>0</v>
      </c>
      <c r="W74" s="8" t="n"/>
      <c r="X74" s="9" t="n"/>
      <c r="Y74" s="8" t="n"/>
      <c r="Z74" s="8" t="inlineStr">
        <is>
          <t>unknown</t>
        </is>
      </c>
    </row>
    <row r="75">
      <c r="A75" s="11" t="inlineStr">
        <is>
          <t>5e89682f-bcb4-42ad-8513-b8e6775dd43b</t>
        </is>
      </c>
      <c r="B75" s="33" t="inlineStr">
        <is>
          <t>(name not on file)</t>
        </is>
      </c>
      <c r="C75" s="24" t="n">
        <v>46072</v>
      </c>
      <c r="D75" s="11" t="inlineStr">
        <is>
          <t>2026-02</t>
        </is>
      </c>
      <c r="E75" s="11" t="b">
        <v>1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n">
        <v>0</v>
      </c>
      <c r="P75" s="11" t="n">
        <v>0</v>
      </c>
      <c r="Q75" s="11" t="n">
        <v>0</v>
      </c>
      <c r="R75" s="11" t="n"/>
      <c r="S75" s="24" t="n"/>
      <c r="T75" s="24" t="n"/>
      <c r="U75" s="11" t="n">
        <v>0</v>
      </c>
      <c r="V75" s="12" t="n">
        <v>0</v>
      </c>
      <c r="W75" s="11" t="n"/>
      <c r="X75" s="12" t="n"/>
      <c r="Y75" s="11" t="n"/>
      <c r="Z75" s="11" t="inlineStr">
        <is>
          <t>unknown</t>
        </is>
      </c>
    </row>
    <row r="76">
      <c r="A76" s="8" t="inlineStr">
        <is>
          <t>9dc141d1-5328-4203-b80d-9ab04501e647</t>
        </is>
      </c>
      <c r="B76" s="8" t="inlineStr">
        <is>
          <t>HSR Beauty</t>
        </is>
      </c>
      <c r="C76" s="23" t="n">
        <v>46072</v>
      </c>
      <c r="D76" s="8" t="inlineStr">
        <is>
          <t>2026-02</t>
        </is>
      </c>
      <c r="E76" s="8" t="b">
        <v>1</v>
      </c>
      <c r="F76" s="8" t="b">
        <v>1</v>
      </c>
      <c r="G76" s="8" t="b">
        <v>1</v>
      </c>
      <c r="H76" s="8" t="b">
        <v>1</v>
      </c>
      <c r="I76" s="8" t="b">
        <v>1</v>
      </c>
      <c r="J76" s="8" t="b">
        <v>0</v>
      </c>
      <c r="K76" s="8" t="b">
        <v>1</v>
      </c>
      <c r="L76" s="8" t="b">
        <v>1</v>
      </c>
      <c r="M76" s="8" t="b">
        <v>1</v>
      </c>
      <c r="N76" s="8" t="b">
        <v>1</v>
      </c>
      <c r="O76" s="8" t="n">
        <v>7</v>
      </c>
      <c r="P76" s="8" t="n">
        <v>7</v>
      </c>
      <c r="Q76" s="8" t="n">
        <v>0</v>
      </c>
      <c r="R76" s="8" t="n"/>
      <c r="S76" s="23" t="n">
        <v>46086</v>
      </c>
      <c r="T76" s="23" t="n">
        <v>46086</v>
      </c>
      <c r="U76" s="8" t="n">
        <v>0</v>
      </c>
      <c r="V76" s="9" t="n">
        <v>0</v>
      </c>
      <c r="W76" s="8" t="n"/>
      <c r="X76" s="9" t="n"/>
      <c r="Y76" s="8" t="n"/>
      <c r="Z76" s="8" t="inlineStr">
        <is>
          <t>gbp_logs</t>
        </is>
      </c>
    </row>
    <row r="77">
      <c r="A77" s="11" t="inlineStr">
        <is>
          <t>35ec62bf-e310-4eac-a4d7-5749940717b7</t>
        </is>
      </c>
      <c r="B77" s="33" t="inlineStr">
        <is>
          <t>(name not on file)</t>
        </is>
      </c>
      <c r="C77" s="24" t="n">
        <v>46073</v>
      </c>
      <c r="D77" s="11" t="inlineStr">
        <is>
          <t>2026-02</t>
        </is>
      </c>
      <c r="E77" s="11" t="b">
        <v>1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n">
        <v>0</v>
      </c>
      <c r="P77" s="11" t="n">
        <v>0</v>
      </c>
      <c r="Q77" s="11" t="n">
        <v>0</v>
      </c>
      <c r="R77" s="11" t="n"/>
      <c r="S77" s="24" t="n"/>
      <c r="T77" s="24" t="n"/>
      <c r="U77" s="11" t="n">
        <v>0</v>
      </c>
      <c r="V77" s="12" t="n">
        <v>0</v>
      </c>
      <c r="W77" s="11" t="n"/>
      <c r="X77" s="12" t="n"/>
      <c r="Y77" s="11" t="n"/>
      <c r="Z77" s="11" t="inlineStr">
        <is>
          <t>unknown</t>
        </is>
      </c>
    </row>
    <row r="78">
      <c r="A78" s="8" t="inlineStr">
        <is>
          <t>65ea1fd7-32da-44db-b820-bfc51ce9eb03</t>
        </is>
      </c>
      <c r="B78" s="8" t="inlineStr">
        <is>
          <t>Saxena's spa</t>
        </is>
      </c>
      <c r="C78" s="23" t="n">
        <v>46073</v>
      </c>
      <c r="D78" s="8" t="inlineStr">
        <is>
          <t>2026-02</t>
        </is>
      </c>
      <c r="E78" s="8" t="b">
        <v>1</v>
      </c>
      <c r="F78" s="8" t="b">
        <v>0</v>
      </c>
      <c r="G78" s="8" t="b">
        <v>0</v>
      </c>
      <c r="H78" s="8" t="b">
        <v>0</v>
      </c>
      <c r="I78" s="8" t="b">
        <v>0</v>
      </c>
      <c r="J78" s="8" t="b">
        <v>0</v>
      </c>
      <c r="K78" s="8" t="b">
        <v>0</v>
      </c>
      <c r="L78" s="8" t="b">
        <v>0</v>
      </c>
      <c r="M78" s="8" t="b">
        <v>0</v>
      </c>
      <c r="N78" s="8" t="b">
        <v>0</v>
      </c>
      <c r="O78" s="8" t="n">
        <v>0</v>
      </c>
      <c r="P78" s="8" t="n">
        <v>0</v>
      </c>
      <c r="Q78" s="8" t="n">
        <v>0</v>
      </c>
      <c r="R78" s="8" t="n"/>
      <c r="S78" s="23" t="n"/>
      <c r="T78" s="23" t="n"/>
      <c r="U78" s="8" t="n">
        <v>0</v>
      </c>
      <c r="V78" s="9" t="n">
        <v>0</v>
      </c>
      <c r="W78" s="8" t="n"/>
      <c r="X78" s="9" t="n"/>
      <c r="Y78" s="8" t="n"/>
      <c r="Z78" s="8" t="inlineStr">
        <is>
          <t>gbp_logs</t>
        </is>
      </c>
    </row>
    <row r="79">
      <c r="A79" s="11" t="inlineStr">
        <is>
          <t>fa2619ea-5509-4815-8b9e-a933e26321bf</t>
        </is>
      </c>
      <c r="B79" s="11" t="inlineStr">
        <is>
          <t>Natasha super salon</t>
        </is>
      </c>
      <c r="C79" s="24" t="n">
        <v>46073</v>
      </c>
      <c r="D79" s="11" t="inlineStr">
        <is>
          <t>2026-02</t>
        </is>
      </c>
      <c r="E79" s="11" t="b">
        <v>1</v>
      </c>
      <c r="F79" s="11" t="b">
        <v>1</v>
      </c>
      <c r="G79" s="11" t="b">
        <v>1</v>
      </c>
      <c r="H79" s="11" t="b">
        <v>1</v>
      </c>
      <c r="I79" s="11" t="b">
        <v>1</v>
      </c>
      <c r="J79" s="11" t="b">
        <v>0</v>
      </c>
      <c r="K79" s="11" t="b">
        <v>1</v>
      </c>
      <c r="L79" s="11" t="b">
        <v>1</v>
      </c>
      <c r="M79" s="11" t="b">
        <v>1</v>
      </c>
      <c r="N79" s="11" t="b">
        <v>1</v>
      </c>
      <c r="O79" s="11" t="n">
        <v>0</v>
      </c>
      <c r="P79" s="11" t="n">
        <v>0</v>
      </c>
      <c r="Q79" s="11" t="n">
        <v>0</v>
      </c>
      <c r="R79" s="11" t="n"/>
      <c r="S79" s="24" t="n"/>
      <c r="T79" s="24" t="n"/>
      <c r="U79" s="11" t="n">
        <v>0</v>
      </c>
      <c r="V79" s="12" t="n">
        <v>0</v>
      </c>
      <c r="W79" s="11" t="n"/>
      <c r="X79" s="12" t="n"/>
      <c r="Y79" s="11" t="n"/>
      <c r="Z79" s="11" t="inlineStr">
        <is>
          <t>gbp_logs</t>
        </is>
      </c>
    </row>
    <row r="80">
      <c r="A80" s="8" t="inlineStr">
        <is>
          <t>531390d6-9578-4932-bd96-9b31b1ca98b9</t>
        </is>
      </c>
      <c r="B80" s="8" t="inlineStr">
        <is>
          <t>Himalaya Spa &amp; Healing Center</t>
        </is>
      </c>
      <c r="C80" s="23" t="n">
        <v>46073</v>
      </c>
      <c r="D80" s="8" t="inlineStr">
        <is>
          <t>2026-02</t>
        </is>
      </c>
      <c r="E80" s="8" t="b">
        <v>1</v>
      </c>
      <c r="F80" s="8" t="b">
        <v>1</v>
      </c>
      <c r="G80" s="8" t="b">
        <v>1</v>
      </c>
      <c r="H80" s="8" t="b">
        <v>1</v>
      </c>
      <c r="I80" s="8" t="b">
        <v>1</v>
      </c>
      <c r="J80" s="8" t="b">
        <v>1</v>
      </c>
      <c r="K80" s="8" t="b">
        <v>0</v>
      </c>
      <c r="L80" s="8" t="b">
        <v>1</v>
      </c>
      <c r="M80" s="8" t="b">
        <v>1</v>
      </c>
      <c r="N80" s="8" t="b">
        <v>1</v>
      </c>
      <c r="O80" s="8" t="n">
        <v>227</v>
      </c>
      <c r="P80" s="8" t="n">
        <v>67</v>
      </c>
      <c r="Q80" s="8" t="n">
        <v>0</v>
      </c>
      <c r="R80" s="8" t="n"/>
      <c r="S80" s="23" t="n">
        <v>46077</v>
      </c>
      <c r="T80" s="23" t="n">
        <v>46141</v>
      </c>
      <c r="U80" s="8" t="n">
        <v>5</v>
      </c>
      <c r="V80" s="9" t="n">
        <v>192</v>
      </c>
      <c r="W80" s="8" t="inlineStr">
        <is>
          <t>cus_U0FgisDa4ev4b3</t>
        </is>
      </c>
      <c r="X80" s="9" t="n"/>
      <c r="Y80" s="8" t="inlineStr">
        <is>
          <t>cancelled</t>
        </is>
      </c>
      <c r="Z80" s="8" t="inlineStr">
        <is>
          <t>gbp</t>
        </is>
      </c>
    </row>
    <row r="81">
      <c r="A81" s="11" t="inlineStr">
        <is>
          <t>54a27121-0b23-4ed0-9153-aec06840a7f7</t>
        </is>
      </c>
      <c r="B81" s="11" t="inlineStr">
        <is>
          <t>it's Waxing &amp; Threading</t>
        </is>
      </c>
      <c r="C81" s="24" t="n">
        <v>46074</v>
      </c>
      <c r="D81" s="11" t="inlineStr">
        <is>
          <t>2026-02</t>
        </is>
      </c>
      <c r="E81" s="11" t="b">
        <v>1</v>
      </c>
      <c r="F81" s="11" t="b">
        <v>1</v>
      </c>
      <c r="G81" s="11" t="b">
        <v>1</v>
      </c>
      <c r="H81" s="11" t="b">
        <v>1</v>
      </c>
      <c r="I81" s="11" t="b">
        <v>1</v>
      </c>
      <c r="J81" s="11" t="b">
        <v>0</v>
      </c>
      <c r="K81" s="11" t="b">
        <v>1</v>
      </c>
      <c r="L81" s="11" t="b">
        <v>1</v>
      </c>
      <c r="M81" s="11" t="b">
        <v>1</v>
      </c>
      <c r="N81" s="11" t="b">
        <v>1</v>
      </c>
      <c r="O81" s="11" t="n">
        <v>106</v>
      </c>
      <c r="P81" s="11" t="n">
        <v>76</v>
      </c>
      <c r="Q81" s="11" t="n">
        <v>0</v>
      </c>
      <c r="R81" s="11" t="n"/>
      <c r="S81" s="24" t="n">
        <v>46078</v>
      </c>
      <c r="T81" s="24" t="n">
        <v>46235</v>
      </c>
      <c r="U81" s="11" t="n">
        <v>14</v>
      </c>
      <c r="V81" s="12" t="n">
        <v>903</v>
      </c>
      <c r="W81" s="11" t="inlineStr">
        <is>
          <t>16AflPVAZLsIpMXS4</t>
        </is>
      </c>
      <c r="X81" s="12" t="n">
        <v>1250.07</v>
      </c>
      <c r="Y81" s="11" t="inlineStr">
        <is>
          <t>active</t>
        </is>
      </c>
      <c r="Z81" s="11" t="inlineStr">
        <is>
          <t>gbp</t>
        </is>
      </c>
    </row>
    <row r="82">
      <c r="A82" s="8" t="inlineStr">
        <is>
          <t>8b68efc1-f459-41e4-a791-e15ea36c7419</t>
        </is>
      </c>
      <c r="B82" s="8" t="inlineStr">
        <is>
          <t>Saxena's spa</t>
        </is>
      </c>
      <c r="C82" s="23" t="n">
        <v>46076</v>
      </c>
      <c r="D82" s="8" t="inlineStr">
        <is>
          <t>2026-02</t>
        </is>
      </c>
      <c r="E82" s="8" t="b">
        <v>1</v>
      </c>
      <c r="F82" s="8" t="b">
        <v>1</v>
      </c>
      <c r="G82" s="8" t="b">
        <v>1</v>
      </c>
      <c r="H82" s="8" t="b">
        <v>1</v>
      </c>
      <c r="I82" s="8" t="b">
        <v>1</v>
      </c>
      <c r="J82" s="8" t="b">
        <v>0</v>
      </c>
      <c r="K82" s="8" t="b">
        <v>1</v>
      </c>
      <c r="L82" s="8" t="b">
        <v>1</v>
      </c>
      <c r="M82" s="8" t="b">
        <v>1</v>
      </c>
      <c r="N82" s="8" t="b">
        <v>1</v>
      </c>
      <c r="O82" s="8" t="n">
        <v>0</v>
      </c>
      <c r="P82" s="8" t="n">
        <v>0</v>
      </c>
      <c r="Q82" s="8" t="n">
        <v>0</v>
      </c>
      <c r="R82" s="8" t="n"/>
      <c r="S82" s="23" t="n"/>
      <c r="T82" s="23" t="n"/>
      <c r="U82" s="8" t="n">
        <v>0</v>
      </c>
      <c r="V82" s="9" t="n">
        <v>0</v>
      </c>
      <c r="W82" s="8" t="n"/>
      <c r="X82" s="9" t="n"/>
      <c r="Y82" s="8" t="n"/>
      <c r="Z82" s="8" t="inlineStr">
        <is>
          <t>gbp_logs</t>
        </is>
      </c>
    </row>
    <row r="83">
      <c r="A83" s="11" t="inlineStr">
        <is>
          <t>c20e28a3-3732-4e0a-a52e-d45eba2814ae</t>
        </is>
      </c>
      <c r="B83" s="11" t="inlineStr">
        <is>
          <t>COAL Hair Dressers</t>
        </is>
      </c>
      <c r="C83" s="24" t="n">
        <v>46076</v>
      </c>
      <c r="D83" s="11" t="inlineStr">
        <is>
          <t>2026-02</t>
        </is>
      </c>
      <c r="E83" s="11" t="b">
        <v>1</v>
      </c>
      <c r="F83" s="11" t="b">
        <v>1</v>
      </c>
      <c r="G83" s="11" t="b">
        <v>1</v>
      </c>
      <c r="H83" s="11" t="b">
        <v>1</v>
      </c>
      <c r="I83" s="11" t="b">
        <v>1</v>
      </c>
      <c r="J83" s="11" t="b">
        <v>0</v>
      </c>
      <c r="K83" s="11" t="b">
        <v>1</v>
      </c>
      <c r="L83" s="11" t="b">
        <v>1</v>
      </c>
      <c r="M83" s="11" t="b">
        <v>1</v>
      </c>
      <c r="N83" s="11" t="b">
        <v>1</v>
      </c>
      <c r="O83" s="11" t="n">
        <v>7</v>
      </c>
      <c r="P83" s="11" t="n">
        <v>3</v>
      </c>
      <c r="Q83" s="11" t="n">
        <v>0</v>
      </c>
      <c r="R83" s="11" t="n"/>
      <c r="S83" s="24" t="n">
        <v>46076</v>
      </c>
      <c r="T83" s="24" t="n">
        <v>46119</v>
      </c>
      <c r="U83" s="11" t="n">
        <v>2</v>
      </c>
      <c r="V83" s="12" t="n">
        <v>467.2</v>
      </c>
      <c r="W83" s="11" t="n"/>
      <c r="X83" s="12" t="n"/>
      <c r="Y83" s="11" t="n"/>
      <c r="Z83" s="11" t="inlineStr">
        <is>
          <t>gbp_logs</t>
        </is>
      </c>
    </row>
    <row r="84">
      <c r="A84" s="8" t="inlineStr">
        <is>
          <t>83916826-46e1-4f27-a452-cc286ad5dd5a</t>
        </is>
      </c>
      <c r="B84" s="8" t="inlineStr">
        <is>
          <t>Saxena's spa</t>
        </is>
      </c>
      <c r="C84" s="23" t="n">
        <v>46076</v>
      </c>
      <c r="D84" s="8" t="inlineStr">
        <is>
          <t>2026-02</t>
        </is>
      </c>
      <c r="E84" s="8" t="b">
        <v>1</v>
      </c>
      <c r="F84" s="8" t="b">
        <v>1</v>
      </c>
      <c r="G84" s="8" t="b">
        <v>1</v>
      </c>
      <c r="H84" s="8" t="b">
        <v>1</v>
      </c>
      <c r="I84" s="8" t="b">
        <v>1</v>
      </c>
      <c r="J84" s="8" t="b">
        <v>0</v>
      </c>
      <c r="K84" s="8" t="b">
        <v>1</v>
      </c>
      <c r="L84" s="8" t="b">
        <v>1</v>
      </c>
      <c r="M84" s="8" t="b">
        <v>1</v>
      </c>
      <c r="N84" s="8" t="b">
        <v>1</v>
      </c>
      <c r="O84" s="8" t="n">
        <v>16</v>
      </c>
      <c r="P84" s="8" t="n">
        <v>16</v>
      </c>
      <c r="Q84" s="8" t="n">
        <v>0</v>
      </c>
      <c r="R84" s="8" t="n"/>
      <c r="S84" s="23" t="n">
        <v>46076</v>
      </c>
      <c r="T84" s="23" t="n">
        <v>46076</v>
      </c>
      <c r="U84" s="8" t="n">
        <v>0</v>
      </c>
      <c r="V84" s="9" t="n">
        <v>0</v>
      </c>
      <c r="W84" s="8" t="n"/>
      <c r="X84" s="9" t="n"/>
      <c r="Y84" s="8" t="n"/>
      <c r="Z84" s="8" t="inlineStr">
        <is>
          <t>gbp_logs</t>
        </is>
      </c>
    </row>
    <row r="85">
      <c r="A85" s="11" t="inlineStr">
        <is>
          <t>aba20322-bc17-4a18-b31d-326dd9b15d69</t>
        </is>
      </c>
      <c r="B85" s="11" t="inlineStr">
        <is>
          <t>Elegant Expressions Beauty And Styles Salon (DBA) Frankiss Signature Hair</t>
        </is>
      </c>
      <c r="C85" s="24" t="n">
        <v>46076</v>
      </c>
      <c r="D85" s="11" t="inlineStr">
        <is>
          <t>2026-02</t>
        </is>
      </c>
      <c r="E85" s="11" t="b">
        <v>1</v>
      </c>
      <c r="F85" s="11" t="b">
        <v>1</v>
      </c>
      <c r="G85" s="11" t="b">
        <v>1</v>
      </c>
      <c r="H85" s="11" t="b">
        <v>1</v>
      </c>
      <c r="I85" s="11" t="b">
        <v>1</v>
      </c>
      <c r="J85" s="11" t="b">
        <v>0</v>
      </c>
      <c r="K85" s="11" t="b">
        <v>1</v>
      </c>
      <c r="L85" s="11" t="b">
        <v>1</v>
      </c>
      <c r="M85" s="11" t="b">
        <v>1</v>
      </c>
      <c r="N85" s="11" t="b">
        <v>1</v>
      </c>
      <c r="O85" s="11" t="n">
        <v>718</v>
      </c>
      <c r="P85" s="11" t="n">
        <v>45</v>
      </c>
      <c r="Q85" s="11" t="n">
        <v>0</v>
      </c>
      <c r="R85" s="11" t="n"/>
      <c r="S85" s="24" t="n">
        <v>45416</v>
      </c>
      <c r="T85" s="24" t="n">
        <v>46197</v>
      </c>
      <c r="U85" s="11" t="n">
        <v>0</v>
      </c>
      <c r="V85" s="12" t="n">
        <v>0</v>
      </c>
      <c r="W85" s="11" t="inlineStr">
        <is>
          <t>cus_QvDY5RSTT5uwmB</t>
        </is>
      </c>
      <c r="X85" s="12" t="n"/>
      <c r="Y85" s="11" t="inlineStr">
        <is>
          <t>cancelled</t>
        </is>
      </c>
      <c r="Z85" s="11" t="inlineStr">
        <is>
          <t>gbp</t>
        </is>
      </c>
    </row>
    <row r="86">
      <c r="A86" s="8" t="inlineStr">
        <is>
          <t>11e81849-6bde-4d33-855d-927f443698bd</t>
        </is>
      </c>
      <c r="B86" s="8" t="inlineStr">
        <is>
          <t>Miracle hands braiding Studio</t>
        </is>
      </c>
      <c r="C86" s="23" t="n">
        <v>46077</v>
      </c>
      <c r="D86" s="8" t="inlineStr">
        <is>
          <t>2026-02</t>
        </is>
      </c>
      <c r="E86" s="8" t="b">
        <v>1</v>
      </c>
      <c r="F86" s="8" t="b">
        <v>1</v>
      </c>
      <c r="G86" s="8" t="b">
        <v>1</v>
      </c>
      <c r="H86" s="8" t="b">
        <v>1</v>
      </c>
      <c r="I86" s="8" t="b">
        <v>1</v>
      </c>
      <c r="J86" s="8" t="b">
        <v>0</v>
      </c>
      <c r="K86" s="8" t="b">
        <v>1</v>
      </c>
      <c r="L86" s="8" t="b">
        <v>1</v>
      </c>
      <c r="M86" s="8" t="b">
        <v>1</v>
      </c>
      <c r="N86" s="8" t="b">
        <v>1</v>
      </c>
      <c r="O86" s="8" t="n">
        <v>391</v>
      </c>
      <c r="P86" s="8" t="n">
        <v>33</v>
      </c>
      <c r="Q86" s="8" t="n">
        <v>0</v>
      </c>
      <c r="R86" s="8" t="n"/>
      <c r="S86" s="23" t="n">
        <v>45259</v>
      </c>
      <c r="T86" s="23" t="n">
        <v>46237</v>
      </c>
      <c r="U86" s="8" t="n">
        <v>0</v>
      </c>
      <c r="V86" s="9" t="n">
        <v>0</v>
      </c>
      <c r="W86" s="8" t="inlineStr">
        <is>
          <t>cus_PU3NzApnWkMxob</t>
        </is>
      </c>
      <c r="X86" s="9" t="n">
        <v>150</v>
      </c>
      <c r="Y86" s="8" t="inlineStr">
        <is>
          <t>active</t>
        </is>
      </c>
      <c r="Z86" s="8" t="inlineStr">
        <is>
          <t>gbp</t>
        </is>
      </c>
    </row>
    <row r="87">
      <c r="A87" s="11" t="inlineStr">
        <is>
          <t>5cd38499-e52e-4591-9053-15b5cb7f0f44</t>
        </is>
      </c>
      <c r="B87" s="11" t="inlineStr">
        <is>
          <t>Glamourous Salon &amp; Spa</t>
        </is>
      </c>
      <c r="C87" s="24" t="n">
        <v>46078</v>
      </c>
      <c r="D87" s="11" t="inlineStr">
        <is>
          <t>2026-02</t>
        </is>
      </c>
      <c r="E87" s="11" t="b">
        <v>1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n">
        <v>0</v>
      </c>
      <c r="P87" s="11" t="n">
        <v>0</v>
      </c>
      <c r="Q87" s="11" t="n">
        <v>0</v>
      </c>
      <c r="R87" s="11" t="n"/>
      <c r="S87" s="24" t="n"/>
      <c r="T87" s="24" t="n"/>
      <c r="U87" s="11" t="n">
        <v>0</v>
      </c>
      <c r="V87" s="12" t="n">
        <v>0</v>
      </c>
      <c r="W87" s="11" t="n"/>
      <c r="X87" s="12" t="n"/>
      <c r="Y87" s="11" t="n"/>
      <c r="Z87" s="11" t="inlineStr">
        <is>
          <t>gbp_logs</t>
        </is>
      </c>
    </row>
    <row r="88">
      <c r="A88" s="8" t="inlineStr">
        <is>
          <t>1b26e354-eb83-433b-a77c-7f2b3f9355f3</t>
        </is>
      </c>
      <c r="B88" s="8" t="inlineStr">
        <is>
          <t>Natasha super salon</t>
        </is>
      </c>
      <c r="C88" s="23" t="n">
        <v>46078</v>
      </c>
      <c r="D88" s="8" t="inlineStr">
        <is>
          <t>2026-02</t>
        </is>
      </c>
      <c r="E88" s="8" t="b">
        <v>1</v>
      </c>
      <c r="F88" s="8" t="b">
        <v>1</v>
      </c>
      <c r="G88" s="8" t="b">
        <v>1</v>
      </c>
      <c r="H88" s="8" t="b">
        <v>1</v>
      </c>
      <c r="I88" s="8" t="b">
        <v>1</v>
      </c>
      <c r="J88" s="8" t="b">
        <v>0</v>
      </c>
      <c r="K88" s="8" t="b">
        <v>1</v>
      </c>
      <c r="L88" s="8" t="b">
        <v>1</v>
      </c>
      <c r="M88" s="8" t="b">
        <v>1</v>
      </c>
      <c r="N88" s="8" t="b">
        <v>1</v>
      </c>
      <c r="O88" s="8" t="n">
        <v>21</v>
      </c>
      <c r="P88" s="8" t="n">
        <v>21</v>
      </c>
      <c r="Q88" s="8" t="n">
        <v>0</v>
      </c>
      <c r="R88" s="8" t="n"/>
      <c r="S88" s="23" t="n">
        <v>46078</v>
      </c>
      <c r="T88" s="23" t="n">
        <v>46079</v>
      </c>
      <c r="U88" s="8" t="n">
        <v>0</v>
      </c>
      <c r="V88" s="9" t="n">
        <v>0</v>
      </c>
      <c r="W88" s="8" t="n"/>
      <c r="X88" s="9" t="n"/>
      <c r="Y88" s="8" t="n"/>
      <c r="Z88" s="8" t="inlineStr">
        <is>
          <t>gbp_logs</t>
        </is>
      </c>
    </row>
    <row r="89">
      <c r="A89" s="11" t="inlineStr">
        <is>
          <t>1b4dcb5c-13a5-45c2-a457-6440fe18841e</t>
        </is>
      </c>
      <c r="B89" s="11" t="inlineStr">
        <is>
          <t>DianeFabulous</t>
        </is>
      </c>
      <c r="C89" s="24" t="n">
        <v>46078</v>
      </c>
      <c r="D89" s="11" t="inlineStr">
        <is>
          <t>2026-02</t>
        </is>
      </c>
      <c r="E89" s="11" t="b">
        <v>1</v>
      </c>
      <c r="F89" s="11" t="b">
        <v>1</v>
      </c>
      <c r="G89" s="11" t="b">
        <v>1</v>
      </c>
      <c r="H89" s="11" t="b">
        <v>1</v>
      </c>
      <c r="I89" s="11" t="b">
        <v>1</v>
      </c>
      <c r="J89" s="11" t="b">
        <v>1</v>
      </c>
      <c r="K89" s="11" t="b">
        <v>0</v>
      </c>
      <c r="L89" s="11" t="b">
        <v>1</v>
      </c>
      <c r="M89" s="11" t="b">
        <v>1</v>
      </c>
      <c r="N89" s="11" t="b">
        <v>1</v>
      </c>
      <c r="O89" s="11" t="n">
        <v>10</v>
      </c>
      <c r="P89" s="11" t="n">
        <v>10</v>
      </c>
      <c r="Q89" s="11" t="n">
        <v>0</v>
      </c>
      <c r="R89" s="11" t="n"/>
      <c r="S89" s="24" t="n">
        <v>46078</v>
      </c>
      <c r="T89" s="24" t="n">
        <v>46180</v>
      </c>
      <c r="U89" s="11" t="n">
        <v>2</v>
      </c>
      <c r="V89" s="12" t="n">
        <v>100</v>
      </c>
      <c r="W89" s="11" t="inlineStr">
        <is>
          <t>AzqUCIV2CxWKp5qw</t>
        </is>
      </c>
      <c r="X89" s="12" t="n"/>
      <c r="Y89" s="11" t="inlineStr">
        <is>
          <t>cancelled</t>
        </is>
      </c>
      <c r="Z89" s="11" t="inlineStr">
        <is>
          <t>gbp</t>
        </is>
      </c>
    </row>
    <row r="90">
      <c r="A90" s="8" t="inlineStr">
        <is>
          <t>bdcb9096-7934-440c-bc24-57268f63b08b</t>
        </is>
      </c>
      <c r="B90" s="8" t="inlineStr">
        <is>
          <t>Vida Beauty Bar</t>
        </is>
      </c>
      <c r="C90" s="23" t="n">
        <v>46078</v>
      </c>
      <c r="D90" s="8" t="inlineStr">
        <is>
          <t>2026-02</t>
        </is>
      </c>
      <c r="E90" s="8" t="b">
        <v>1</v>
      </c>
      <c r="F90" s="8" t="b">
        <v>1</v>
      </c>
      <c r="G90" s="8" t="b">
        <v>1</v>
      </c>
      <c r="H90" s="8" t="b">
        <v>1</v>
      </c>
      <c r="I90" s="8" t="b">
        <v>1</v>
      </c>
      <c r="J90" s="8" t="b">
        <v>0</v>
      </c>
      <c r="K90" s="8" t="b">
        <v>1</v>
      </c>
      <c r="L90" s="8" t="b">
        <v>1</v>
      </c>
      <c r="M90" s="8" t="b">
        <v>1</v>
      </c>
      <c r="N90" s="8" t="b">
        <v>1</v>
      </c>
      <c r="O90" s="8" t="n">
        <v>692</v>
      </c>
      <c r="P90" s="8" t="n">
        <v>191</v>
      </c>
      <c r="Q90" s="8" t="n">
        <v>0</v>
      </c>
      <c r="R90" s="8" t="n"/>
      <c r="S90" s="23" t="n">
        <v>46078</v>
      </c>
      <c r="T90" s="23" t="n">
        <v>46237</v>
      </c>
      <c r="U90" s="8" t="n">
        <v>0</v>
      </c>
      <c r="V90" s="9" t="n">
        <v>0</v>
      </c>
      <c r="W90" s="8" t="inlineStr">
        <is>
          <t>16BXdwUvalf4c3pdW</t>
        </is>
      </c>
      <c r="X90" s="9" t="n">
        <v>199</v>
      </c>
      <c r="Y90" s="8" t="inlineStr">
        <is>
          <t>active</t>
        </is>
      </c>
      <c r="Z90" s="8" t="inlineStr">
        <is>
          <t>gbp</t>
        </is>
      </c>
    </row>
    <row r="91">
      <c r="A91" s="11" t="inlineStr">
        <is>
          <t>3a38f3a3-b66e-4f62-b841-3e9ce14350ad</t>
        </is>
      </c>
      <c r="B91" s="11" t="inlineStr">
        <is>
          <t>Golden Hair Braiding</t>
        </is>
      </c>
      <c r="C91" s="24" t="n">
        <v>46079</v>
      </c>
      <c r="D91" s="11" t="inlineStr">
        <is>
          <t>2026-02</t>
        </is>
      </c>
      <c r="E91" s="11" t="b">
        <v>1</v>
      </c>
      <c r="F91" s="11" t="b">
        <v>1</v>
      </c>
      <c r="G91" s="11" t="b">
        <v>1</v>
      </c>
      <c r="H91" s="11" t="b">
        <v>1</v>
      </c>
      <c r="I91" s="11" t="b">
        <v>1</v>
      </c>
      <c r="J91" s="11" t="b">
        <v>0</v>
      </c>
      <c r="K91" s="11" t="b">
        <v>1</v>
      </c>
      <c r="L91" s="11" t="b">
        <v>1</v>
      </c>
      <c r="M91" s="11" t="b">
        <v>1</v>
      </c>
      <c r="N91" s="11" t="b">
        <v>1</v>
      </c>
      <c r="O91" s="11" t="n">
        <v>128</v>
      </c>
      <c r="P91" s="11" t="n">
        <v>128</v>
      </c>
      <c r="Q91" s="11" t="n">
        <v>0</v>
      </c>
      <c r="R91" s="11" t="n"/>
      <c r="S91" s="24" t="n">
        <v>46107</v>
      </c>
      <c r="T91" s="24" t="n">
        <v>46234</v>
      </c>
      <c r="U91" s="11" t="n">
        <v>0</v>
      </c>
      <c r="V91" s="12" t="n">
        <v>0</v>
      </c>
      <c r="W91" s="11" t="inlineStr">
        <is>
          <t>AzqO4bV13axpA8JbC</t>
        </is>
      </c>
      <c r="X91" s="12" t="n">
        <v>200</v>
      </c>
      <c r="Y91" s="11" t="inlineStr">
        <is>
          <t>active</t>
        </is>
      </c>
      <c r="Z91" s="11" t="inlineStr">
        <is>
          <t>gbp</t>
        </is>
      </c>
    </row>
    <row r="92">
      <c r="A92" s="8" t="inlineStr">
        <is>
          <t>9003bb0e-f33b-4ee6-ad2c-74463ffed97f</t>
        </is>
      </c>
      <c r="B92" s="34" t="inlineStr">
        <is>
          <t>(name not on file)</t>
        </is>
      </c>
      <c r="C92" s="23" t="n">
        <v>46079</v>
      </c>
      <c r="D92" s="8" t="inlineStr">
        <is>
          <t>2026-02</t>
        </is>
      </c>
      <c r="E92" s="8" t="b">
        <v>1</v>
      </c>
      <c r="F92" s="8" t="b">
        <v>1</v>
      </c>
      <c r="G92" s="8" t="b">
        <v>1</v>
      </c>
      <c r="H92" s="8" t="b">
        <v>1</v>
      </c>
      <c r="I92" s="8" t="b">
        <v>1</v>
      </c>
      <c r="J92" s="8" t="b">
        <v>0</v>
      </c>
      <c r="K92" s="8" t="b">
        <v>1</v>
      </c>
      <c r="L92" s="8" t="b">
        <v>1</v>
      </c>
      <c r="M92" s="8" t="b">
        <v>1</v>
      </c>
      <c r="N92" s="8" t="b">
        <v>1</v>
      </c>
      <c r="O92" s="8" t="n">
        <v>23</v>
      </c>
      <c r="P92" s="8" t="n">
        <v>16</v>
      </c>
      <c r="Q92" s="8" t="n">
        <v>0</v>
      </c>
      <c r="R92" s="8" t="n"/>
      <c r="S92" s="23" t="n">
        <v>46104</v>
      </c>
      <c r="T92" s="23" t="n">
        <v>46142</v>
      </c>
      <c r="U92" s="8" t="n">
        <v>3</v>
      </c>
      <c r="V92" s="9" t="n">
        <v>111</v>
      </c>
      <c r="W92" s="8" t="n"/>
      <c r="X92" s="9" t="n"/>
      <c r="Y92" s="8" t="n"/>
      <c r="Z92" s="8" t="inlineStr">
        <is>
          <t>unknown</t>
        </is>
      </c>
    </row>
    <row r="93">
      <c r="A93" s="11" t="inlineStr">
        <is>
          <t>04d19914-49c8-44f2-b251-5fbd643a2300</t>
        </is>
      </c>
      <c r="B93" s="11" t="inlineStr">
        <is>
          <t>Jamila African Hair Braiding</t>
        </is>
      </c>
      <c r="C93" s="24" t="n">
        <v>46079</v>
      </c>
      <c r="D93" s="11" t="inlineStr">
        <is>
          <t>2026-02</t>
        </is>
      </c>
      <c r="E93" s="11" t="b">
        <v>1</v>
      </c>
      <c r="F93" s="11" t="b">
        <v>1</v>
      </c>
      <c r="G93" s="11" t="b">
        <v>1</v>
      </c>
      <c r="H93" s="11" t="b">
        <v>1</v>
      </c>
      <c r="I93" s="11" t="b">
        <v>1</v>
      </c>
      <c r="J93" s="11" t="b">
        <v>0</v>
      </c>
      <c r="K93" s="11" t="b">
        <v>1</v>
      </c>
      <c r="L93" s="11" t="b">
        <v>1</v>
      </c>
      <c r="M93" s="11" t="b">
        <v>1</v>
      </c>
      <c r="N93" s="11" t="b">
        <v>1</v>
      </c>
      <c r="O93" s="11" t="n">
        <v>114</v>
      </c>
      <c r="P93" s="11" t="n">
        <v>114</v>
      </c>
      <c r="Q93" s="11" t="n">
        <v>0</v>
      </c>
      <c r="R93" s="11" t="n"/>
      <c r="S93" s="24" t="n">
        <v>46088</v>
      </c>
      <c r="T93" s="24" t="n">
        <v>46237</v>
      </c>
      <c r="U93" s="11" t="n">
        <v>0</v>
      </c>
      <c r="V93" s="12" t="n">
        <v>0</v>
      </c>
      <c r="W93" s="11" t="inlineStr">
        <is>
          <t>AzqbodV0xNjaWDWp0</t>
        </is>
      </c>
      <c r="X93" s="12" t="n">
        <v>150</v>
      </c>
      <c r="Y93" s="11" t="inlineStr">
        <is>
          <t>active</t>
        </is>
      </c>
      <c r="Z93" s="11" t="inlineStr">
        <is>
          <t>gbp</t>
        </is>
      </c>
    </row>
    <row r="94">
      <c r="A94" s="8" t="inlineStr">
        <is>
          <t>24bfdf15-2446-4669-8c35-771d953ac52a</t>
        </is>
      </c>
      <c r="B94" s="8" t="inlineStr">
        <is>
          <t>5T BEAUTY ACADEMY</t>
        </is>
      </c>
      <c r="C94" s="23" t="n">
        <v>46079</v>
      </c>
      <c r="D94" s="8" t="inlineStr">
        <is>
          <t>2026-02</t>
        </is>
      </c>
      <c r="E94" s="8" t="b">
        <v>1</v>
      </c>
      <c r="F94" s="8" t="b">
        <v>0</v>
      </c>
      <c r="G94" s="8" t="b">
        <v>0</v>
      </c>
      <c r="H94" s="8" t="b">
        <v>0</v>
      </c>
      <c r="I94" s="8" t="b">
        <v>0</v>
      </c>
      <c r="J94" s="8" t="b">
        <v>0</v>
      </c>
      <c r="K94" s="8" t="b">
        <v>0</v>
      </c>
      <c r="L94" s="8" t="b">
        <v>0</v>
      </c>
      <c r="M94" s="8" t="b">
        <v>0</v>
      </c>
      <c r="N94" s="8" t="b">
        <v>0</v>
      </c>
      <c r="O94" s="8" t="n">
        <v>0</v>
      </c>
      <c r="P94" s="8" t="n">
        <v>0</v>
      </c>
      <c r="Q94" s="8" t="n">
        <v>0</v>
      </c>
      <c r="R94" s="8" t="n"/>
      <c r="S94" s="23" t="n"/>
      <c r="T94" s="23" t="n"/>
      <c r="U94" s="8" t="n">
        <v>0</v>
      </c>
      <c r="V94" s="9" t="n">
        <v>0</v>
      </c>
      <c r="W94" s="8" t="inlineStr">
        <is>
          <t>AzqcbiV0qkmiw6bth</t>
        </is>
      </c>
      <c r="X94" s="9" t="n"/>
      <c r="Y94" s="8" t="inlineStr">
        <is>
          <t>cancelled</t>
        </is>
      </c>
      <c r="Z94" s="8" t="inlineStr">
        <is>
          <t>gbp</t>
        </is>
      </c>
    </row>
    <row r="95">
      <c r="A95" s="11" t="inlineStr">
        <is>
          <t>65dd98d3-43be-49f3-93f4-ef35117d66b3</t>
        </is>
      </c>
      <c r="B95" s="11" t="inlineStr">
        <is>
          <t>Natasha super salon</t>
        </is>
      </c>
      <c r="C95" s="24" t="n">
        <v>46080</v>
      </c>
      <c r="D95" s="11" t="inlineStr">
        <is>
          <t>2026-02</t>
        </is>
      </c>
      <c r="E95" s="11" t="b">
        <v>1</v>
      </c>
      <c r="F95" s="11" t="b">
        <v>1</v>
      </c>
      <c r="G95" s="11" t="b">
        <v>1</v>
      </c>
      <c r="H95" s="11" t="b">
        <v>1</v>
      </c>
      <c r="I95" s="11" t="b">
        <v>1</v>
      </c>
      <c r="J95" s="11" t="b">
        <v>0</v>
      </c>
      <c r="K95" s="11" t="b">
        <v>1</v>
      </c>
      <c r="L95" s="11" t="b">
        <v>1</v>
      </c>
      <c r="M95" s="11" t="b">
        <v>1</v>
      </c>
      <c r="N95" s="11" t="b">
        <v>1</v>
      </c>
      <c r="O95" s="11" t="n">
        <v>14</v>
      </c>
      <c r="P95" s="11" t="n">
        <v>14</v>
      </c>
      <c r="Q95" s="11" t="n">
        <v>0</v>
      </c>
      <c r="R95" s="11" t="n"/>
      <c r="S95" s="24" t="n">
        <v>46080</v>
      </c>
      <c r="T95" s="24" t="n">
        <v>46083</v>
      </c>
      <c r="U95" s="11" t="n">
        <v>1</v>
      </c>
      <c r="V95" s="12" t="n">
        <v>55</v>
      </c>
      <c r="W95" s="11" t="n"/>
      <c r="X95" s="12" t="n"/>
      <c r="Y95" s="11" t="n"/>
      <c r="Z95" s="11" t="inlineStr">
        <is>
          <t>gbp_logs</t>
        </is>
      </c>
    </row>
    <row r="96">
      <c r="A96" s="8" t="inlineStr">
        <is>
          <t>059e2eba-670d-4618-bd84-63b3a685bad1</t>
        </is>
      </c>
      <c r="B96" s="8" t="inlineStr">
        <is>
          <t>Naomi's African Hair Braiding Salon</t>
        </is>
      </c>
      <c r="C96" s="23" t="n">
        <v>46080</v>
      </c>
      <c r="D96" s="8" t="inlineStr">
        <is>
          <t>2026-02</t>
        </is>
      </c>
      <c r="E96" s="8" t="b">
        <v>1</v>
      </c>
      <c r="F96" s="8" t="b">
        <v>1</v>
      </c>
      <c r="G96" s="8" t="b">
        <v>1</v>
      </c>
      <c r="H96" s="8" t="b">
        <v>1</v>
      </c>
      <c r="I96" s="8" t="b">
        <v>1</v>
      </c>
      <c r="J96" s="8" t="b">
        <v>0</v>
      </c>
      <c r="K96" s="8" t="b">
        <v>0</v>
      </c>
      <c r="L96" s="8" t="b">
        <v>0</v>
      </c>
      <c r="M96" s="8" t="b">
        <v>0</v>
      </c>
      <c r="N96" s="8" t="b">
        <v>0</v>
      </c>
      <c r="O96" s="8" t="n">
        <v>0</v>
      </c>
      <c r="P96" s="8" t="n">
        <v>0</v>
      </c>
      <c r="Q96" s="8" t="n">
        <v>0</v>
      </c>
      <c r="R96" s="8" t="n"/>
      <c r="S96" s="23" t="n"/>
      <c r="T96" s="23" t="n"/>
      <c r="U96" s="8" t="n">
        <v>0</v>
      </c>
      <c r="V96" s="9" t="n">
        <v>0</v>
      </c>
      <c r="W96" s="8" t="inlineStr">
        <is>
          <t>cus_PjQE46ZlgRsQvY</t>
        </is>
      </c>
      <c r="X96" s="9" t="n">
        <v>100</v>
      </c>
      <c r="Y96" s="8" t="inlineStr">
        <is>
          <t>active</t>
        </is>
      </c>
      <c r="Z96" s="8" t="inlineStr">
        <is>
          <t>gbp</t>
        </is>
      </c>
    </row>
    <row r="97">
      <c r="A97" s="11" t="inlineStr">
        <is>
          <t>52edec61-4a93-4906-b110-28c16415fba5</t>
        </is>
      </c>
      <c r="B97" s="11" t="inlineStr">
        <is>
          <t>Saxena's spa</t>
        </is>
      </c>
      <c r="C97" s="24" t="n">
        <v>46083</v>
      </c>
      <c r="D97" s="11" t="inlineStr">
        <is>
          <t>2026-03</t>
        </is>
      </c>
      <c r="E97" s="11" t="b">
        <v>1</v>
      </c>
      <c r="F97" s="11" t="b">
        <v>1</v>
      </c>
      <c r="G97" s="11" t="b">
        <v>1</v>
      </c>
      <c r="H97" s="11" t="b">
        <v>1</v>
      </c>
      <c r="I97" s="11" t="b">
        <v>1</v>
      </c>
      <c r="J97" s="11" t="b">
        <v>0</v>
      </c>
      <c r="K97" s="11" t="b">
        <v>1</v>
      </c>
      <c r="L97" s="11" t="b">
        <v>1</v>
      </c>
      <c r="M97" s="11" t="b">
        <v>1</v>
      </c>
      <c r="N97" s="11" t="b">
        <v>1</v>
      </c>
      <c r="O97" s="11" t="n">
        <v>0</v>
      </c>
      <c r="P97" s="11" t="n">
        <v>0</v>
      </c>
      <c r="Q97" s="11" t="n">
        <v>0</v>
      </c>
      <c r="R97" s="11" t="n"/>
      <c r="S97" s="24" t="n"/>
      <c r="T97" s="24" t="n"/>
      <c r="U97" s="11" t="n">
        <v>0</v>
      </c>
      <c r="V97" s="12" t="n">
        <v>0</v>
      </c>
      <c r="W97" s="11" t="n"/>
      <c r="X97" s="12" t="n"/>
      <c r="Y97" s="11" t="n"/>
      <c r="Z97" s="11" t="inlineStr">
        <is>
          <t>gbp_logs</t>
        </is>
      </c>
    </row>
    <row r="98">
      <c r="A98" s="8" t="inlineStr">
        <is>
          <t>ffe5f041-42ca-46f0-adf2-ce15e6b17731</t>
        </is>
      </c>
      <c r="B98" s="34" t="inlineStr">
        <is>
          <t>(name not on file)</t>
        </is>
      </c>
      <c r="C98" s="23" t="n">
        <v>46083</v>
      </c>
      <c r="D98" s="8" t="inlineStr">
        <is>
          <t>2026-03</t>
        </is>
      </c>
      <c r="E98" s="8" t="b">
        <v>1</v>
      </c>
      <c r="F98" s="8" t="b">
        <v>1</v>
      </c>
      <c r="G98" s="8" t="b">
        <v>1</v>
      </c>
      <c r="H98" s="8" t="b">
        <v>1</v>
      </c>
      <c r="I98" s="8" t="b">
        <v>1</v>
      </c>
      <c r="J98" s="8" t="b">
        <v>0</v>
      </c>
      <c r="K98" s="8" t="b">
        <v>1</v>
      </c>
      <c r="L98" s="8" t="b">
        <v>1</v>
      </c>
      <c r="M98" s="8" t="b">
        <v>1</v>
      </c>
      <c r="N98" s="8" t="b">
        <v>1</v>
      </c>
      <c r="O98" s="8" t="n">
        <v>0</v>
      </c>
      <c r="P98" s="8" t="n">
        <v>0</v>
      </c>
      <c r="Q98" s="8" t="n">
        <v>0</v>
      </c>
      <c r="R98" s="8" t="n"/>
      <c r="S98" s="23" t="n"/>
      <c r="T98" s="23" t="n"/>
      <c r="U98" s="8" t="n">
        <v>0</v>
      </c>
      <c r="V98" s="9" t="n">
        <v>0</v>
      </c>
      <c r="W98" s="8" t="n"/>
      <c r="X98" s="9" t="n"/>
      <c r="Y98" s="8" t="n"/>
      <c r="Z98" s="8" t="inlineStr">
        <is>
          <t>unknown</t>
        </is>
      </c>
    </row>
    <row r="99">
      <c r="A99" s="11" t="inlineStr">
        <is>
          <t>2dacf4e8-5a71-4efa-851e-b482eb38a6b0</t>
        </is>
      </c>
      <c r="B99" s="11" t="inlineStr">
        <is>
          <t>XCAPE</t>
        </is>
      </c>
      <c r="C99" s="24" t="n">
        <v>46083</v>
      </c>
      <c r="D99" s="11" t="inlineStr">
        <is>
          <t>2026-03</t>
        </is>
      </c>
      <c r="E99" s="11" t="b">
        <v>0</v>
      </c>
      <c r="F99" s="11" t="b">
        <v>1</v>
      </c>
      <c r="G99" s="11" t="b">
        <v>1</v>
      </c>
      <c r="H99" s="11" t="b">
        <v>1</v>
      </c>
      <c r="I99" s="11" t="b">
        <v>1</v>
      </c>
      <c r="J99" s="11" t="b">
        <v>1</v>
      </c>
      <c r="K99" s="11" t="b">
        <v>0</v>
      </c>
      <c r="L99" s="11" t="b">
        <v>0</v>
      </c>
      <c r="M99" s="11" t="b">
        <v>0</v>
      </c>
      <c r="N99" s="11" t="b">
        <v>1</v>
      </c>
      <c r="O99" s="11" t="n">
        <v>10</v>
      </c>
      <c r="P99" s="11" t="n">
        <v>0</v>
      </c>
      <c r="Q99" s="11" t="n">
        <v>0</v>
      </c>
      <c r="R99" s="11" t="n"/>
      <c r="S99" s="24" t="n">
        <v>46112</v>
      </c>
      <c r="T99" s="24" t="n">
        <v>46116</v>
      </c>
      <c r="U99" s="11" t="n">
        <v>2</v>
      </c>
      <c r="V99" s="12" t="n">
        <v>290</v>
      </c>
      <c r="W99" s="11" t="inlineStr">
        <is>
          <t>16BRsZV0gyslo6Gfi</t>
        </is>
      </c>
      <c r="X99" s="12" t="n"/>
      <c r="Y99" s="11" t="inlineStr">
        <is>
          <t>cancelled</t>
        </is>
      </c>
      <c r="Z99" s="11" t="inlineStr">
        <is>
          <t>gbp</t>
        </is>
      </c>
    </row>
    <row r="100">
      <c r="A100" s="8" t="inlineStr">
        <is>
          <t>b7c19608-d68c-4f1d-860d-ff6f70d4a564</t>
        </is>
      </c>
      <c r="B100" s="8" t="inlineStr">
        <is>
          <t>The Moon Beauty | Facial Spa</t>
        </is>
      </c>
      <c r="C100" s="23" t="n">
        <v>46083</v>
      </c>
      <c r="D100" s="8" t="inlineStr">
        <is>
          <t>2026-03</t>
        </is>
      </c>
      <c r="E100" s="8" t="b">
        <v>1</v>
      </c>
      <c r="F100" s="8" t="b">
        <v>1</v>
      </c>
      <c r="G100" s="8" t="b">
        <v>0</v>
      </c>
      <c r="H100" s="8" t="b">
        <v>0</v>
      </c>
      <c r="I100" s="8" t="b">
        <v>0</v>
      </c>
      <c r="J100" s="8" t="b">
        <v>0</v>
      </c>
      <c r="K100" s="8" t="b">
        <v>0</v>
      </c>
      <c r="L100" s="8" t="b">
        <v>0</v>
      </c>
      <c r="M100" s="8" t="b">
        <v>0</v>
      </c>
      <c r="N100" s="8" t="b">
        <v>0</v>
      </c>
      <c r="O100" s="8" t="n">
        <v>0</v>
      </c>
      <c r="P100" s="8" t="n">
        <v>0</v>
      </c>
      <c r="Q100" s="8" t="n">
        <v>0</v>
      </c>
      <c r="R100" s="8" t="n"/>
      <c r="S100" s="23" t="n"/>
      <c r="T100" s="23" t="n"/>
      <c r="U100" s="8" t="n">
        <v>0</v>
      </c>
      <c r="V100" s="9" t="n">
        <v>0</v>
      </c>
      <c r="W100" s="8" t="inlineStr">
        <is>
          <t>cus_Q265iKOdiQIKnz</t>
        </is>
      </c>
      <c r="X100" s="9" t="n">
        <v>200</v>
      </c>
      <c r="Y100" s="8" t="inlineStr">
        <is>
          <t>active</t>
        </is>
      </c>
      <c r="Z100" s="8" t="inlineStr">
        <is>
          <t>gbp</t>
        </is>
      </c>
    </row>
    <row r="101">
      <c r="A101" s="11" t="inlineStr">
        <is>
          <t>7c02b584-78b6-4c2e-b105-a8f6f51ad7f7</t>
        </is>
      </c>
      <c r="B101" s="11" t="inlineStr">
        <is>
          <t>The Sculpt Spa</t>
        </is>
      </c>
      <c r="C101" s="24" t="n">
        <v>46083</v>
      </c>
      <c r="D101" s="11" t="inlineStr">
        <is>
          <t>2026-03</t>
        </is>
      </c>
      <c r="E101" s="11" t="b">
        <v>1</v>
      </c>
      <c r="F101" s="11" t="b">
        <v>1</v>
      </c>
      <c r="G101" s="11" t="b">
        <v>1</v>
      </c>
      <c r="H101" s="11" t="b">
        <v>1</v>
      </c>
      <c r="I101" s="11" t="b">
        <v>1</v>
      </c>
      <c r="J101" s="11" t="b">
        <v>1</v>
      </c>
      <c r="K101" s="11" t="b">
        <v>0</v>
      </c>
      <c r="L101" s="11" t="b">
        <v>1</v>
      </c>
      <c r="M101" s="11" t="b">
        <v>1</v>
      </c>
      <c r="N101" s="11" t="b">
        <v>1</v>
      </c>
      <c r="O101" s="11" t="n">
        <v>6</v>
      </c>
      <c r="P101" s="11" t="n">
        <v>6</v>
      </c>
      <c r="Q101" s="11" t="n">
        <v>0</v>
      </c>
      <c r="R101" s="11" t="n"/>
      <c r="S101" s="24" t="n">
        <v>46154</v>
      </c>
      <c r="T101" s="24" t="n">
        <v>46199</v>
      </c>
      <c r="U101" s="11" t="n">
        <v>0</v>
      </c>
      <c r="V101" s="12" t="n">
        <v>0</v>
      </c>
      <c r="W101" s="11" t="inlineStr">
        <is>
          <t>cus_U3eC0paE9t3LVN</t>
        </is>
      </c>
      <c r="X101" s="12" t="n">
        <v>150</v>
      </c>
      <c r="Y101" s="11" t="inlineStr">
        <is>
          <t>active</t>
        </is>
      </c>
      <c r="Z101" s="11" t="inlineStr">
        <is>
          <t>gbp</t>
        </is>
      </c>
    </row>
    <row r="102">
      <c r="A102" s="8" t="inlineStr">
        <is>
          <t>3b19e06c-228c-4188-934c-7d7fa38f9584</t>
        </is>
      </c>
      <c r="B102" s="34" t="inlineStr">
        <is>
          <t>(name not on file)</t>
        </is>
      </c>
      <c r="C102" s="23" t="n">
        <v>46084</v>
      </c>
      <c r="D102" s="8" t="inlineStr">
        <is>
          <t>2026-03</t>
        </is>
      </c>
      <c r="E102" s="8" t="b">
        <v>1</v>
      </c>
      <c r="F102" s="8" t="b">
        <v>1</v>
      </c>
      <c r="G102" s="8" t="b">
        <v>1</v>
      </c>
      <c r="H102" s="8" t="b">
        <v>1</v>
      </c>
      <c r="I102" s="8" t="b">
        <v>1</v>
      </c>
      <c r="J102" s="8" t="b">
        <v>0</v>
      </c>
      <c r="K102" s="8" t="b">
        <v>1</v>
      </c>
      <c r="L102" s="8" t="b">
        <v>1</v>
      </c>
      <c r="M102" s="8" t="b">
        <v>1</v>
      </c>
      <c r="N102" s="8" t="b">
        <v>1</v>
      </c>
      <c r="O102" s="8" t="n">
        <v>9</v>
      </c>
      <c r="P102" s="8" t="n">
        <v>9</v>
      </c>
      <c r="Q102" s="8" t="n">
        <v>0</v>
      </c>
      <c r="R102" s="8" t="n"/>
      <c r="S102" s="23" t="n">
        <v>46084</v>
      </c>
      <c r="T102" s="23" t="n">
        <v>46084</v>
      </c>
      <c r="U102" s="8" t="n">
        <v>1</v>
      </c>
      <c r="V102" s="9" t="n">
        <v>5</v>
      </c>
      <c r="W102" s="8" t="n"/>
      <c r="X102" s="9" t="n"/>
      <c r="Y102" s="8" t="n"/>
      <c r="Z102" s="8" t="inlineStr">
        <is>
          <t>unknown</t>
        </is>
      </c>
    </row>
    <row r="103">
      <c r="A103" s="11" t="inlineStr">
        <is>
          <t>6d08968b-164f-49ed-8832-0e7590d22863</t>
        </is>
      </c>
      <c r="B103" s="11" t="inlineStr">
        <is>
          <t>Natasha super salon</t>
        </is>
      </c>
      <c r="C103" s="24" t="n">
        <v>46084</v>
      </c>
      <c r="D103" s="11" t="inlineStr">
        <is>
          <t>2026-03</t>
        </is>
      </c>
      <c r="E103" s="11" t="b">
        <v>1</v>
      </c>
      <c r="F103" s="11" t="b">
        <v>1</v>
      </c>
      <c r="G103" s="11" t="b">
        <v>1</v>
      </c>
      <c r="H103" s="11" t="b">
        <v>1</v>
      </c>
      <c r="I103" s="11" t="b">
        <v>1</v>
      </c>
      <c r="J103" s="11" t="b">
        <v>0</v>
      </c>
      <c r="K103" s="11" t="b">
        <v>1</v>
      </c>
      <c r="L103" s="11" t="b">
        <v>1</v>
      </c>
      <c r="M103" s="11" t="b">
        <v>1</v>
      </c>
      <c r="N103" s="11" t="b">
        <v>1</v>
      </c>
      <c r="O103" s="11" t="n">
        <v>21</v>
      </c>
      <c r="P103" s="11" t="n">
        <v>21</v>
      </c>
      <c r="Q103" s="11" t="n">
        <v>0</v>
      </c>
      <c r="R103" s="11" t="n"/>
      <c r="S103" s="24" t="n">
        <v>46084</v>
      </c>
      <c r="T103" s="24" t="n">
        <v>46087</v>
      </c>
      <c r="U103" s="11" t="n">
        <v>3</v>
      </c>
      <c r="V103" s="12" t="n">
        <v>285.5</v>
      </c>
      <c r="W103" s="11" t="n"/>
      <c r="X103" s="12" t="n"/>
      <c r="Y103" s="11" t="n"/>
      <c r="Z103" s="11" t="inlineStr">
        <is>
          <t>gbp_logs</t>
        </is>
      </c>
    </row>
    <row r="104">
      <c r="A104" s="8" t="inlineStr">
        <is>
          <t>a07ceb99-4de9-4ed2-ab97-975c33bcf8b7</t>
        </is>
      </c>
      <c r="B104" s="8" t="inlineStr">
        <is>
          <t>Erica T. Baldwin | Hair Extensions &amp; Color Specialist</t>
        </is>
      </c>
      <c r="C104" s="23" t="n">
        <v>46084</v>
      </c>
      <c r="D104" s="8" t="inlineStr">
        <is>
          <t>2026-03</t>
        </is>
      </c>
      <c r="E104" s="8" t="b">
        <v>0</v>
      </c>
      <c r="F104" s="8" t="b">
        <v>1</v>
      </c>
      <c r="G104" s="8" t="b">
        <v>1</v>
      </c>
      <c r="H104" s="8" t="b">
        <v>1</v>
      </c>
      <c r="I104" s="8" t="b">
        <v>1</v>
      </c>
      <c r="J104" s="8" t="b">
        <v>1</v>
      </c>
      <c r="K104" s="8" t="b">
        <v>0</v>
      </c>
      <c r="L104" s="8" t="b">
        <v>0</v>
      </c>
      <c r="M104" s="8" t="b">
        <v>0</v>
      </c>
      <c r="N104" s="8" t="b">
        <v>1</v>
      </c>
      <c r="O104" s="8" t="n">
        <v>5</v>
      </c>
      <c r="P104" s="8" t="n">
        <v>5</v>
      </c>
      <c r="Q104" s="8" t="n">
        <v>0</v>
      </c>
      <c r="R104" s="8" t="n"/>
      <c r="S104" s="23" t="n">
        <v>46103</v>
      </c>
      <c r="T104" s="23" t="n">
        <v>46190</v>
      </c>
      <c r="U104" s="8" t="n">
        <v>4</v>
      </c>
      <c r="V104" s="9" t="n">
        <v>43.75</v>
      </c>
      <c r="W104" s="8" t="inlineStr">
        <is>
          <t>AzyfSLUuuwVVN1ykI</t>
        </is>
      </c>
      <c r="X104" s="9" t="n"/>
      <c r="Y104" s="8" t="inlineStr">
        <is>
          <t>cancelled</t>
        </is>
      </c>
      <c r="Z104" s="8" t="inlineStr">
        <is>
          <t>gbp</t>
        </is>
      </c>
    </row>
    <row r="105">
      <c r="A105" s="11" t="inlineStr">
        <is>
          <t>0e3f7e2d-a47f-4246-81df-960b97933227</t>
        </is>
      </c>
      <c r="B105" s="33" t="inlineStr">
        <is>
          <t>(name not on file)</t>
        </is>
      </c>
      <c r="C105" s="24" t="n">
        <v>46086</v>
      </c>
      <c r="D105" s="11" t="inlineStr">
        <is>
          <t>2026-03</t>
        </is>
      </c>
      <c r="E105" s="11" t="b">
        <v>1</v>
      </c>
      <c r="F105" s="11" t="b">
        <v>1</v>
      </c>
      <c r="G105" s="11" t="b">
        <v>1</v>
      </c>
      <c r="H105" s="11" t="b">
        <v>1</v>
      </c>
      <c r="I105" s="11" t="b">
        <v>1</v>
      </c>
      <c r="J105" s="11" t="b">
        <v>0</v>
      </c>
      <c r="K105" s="11" t="b">
        <v>1</v>
      </c>
      <c r="L105" s="11" t="b">
        <v>1</v>
      </c>
      <c r="M105" s="11" t="b">
        <v>1</v>
      </c>
      <c r="N105" s="11" t="b">
        <v>1</v>
      </c>
      <c r="O105" s="11" t="n">
        <v>1</v>
      </c>
      <c r="P105" s="11" t="n">
        <v>1</v>
      </c>
      <c r="Q105" s="11" t="n">
        <v>0</v>
      </c>
      <c r="R105" s="11" t="n"/>
      <c r="S105" s="24" t="n">
        <v>46086</v>
      </c>
      <c r="T105" s="24" t="n">
        <v>46086</v>
      </c>
      <c r="U105" s="11" t="n">
        <v>0</v>
      </c>
      <c r="V105" s="12" t="n">
        <v>0</v>
      </c>
      <c r="W105" s="11" t="n"/>
      <c r="X105" s="12" t="n"/>
      <c r="Y105" s="11" t="n"/>
      <c r="Z105" s="11" t="inlineStr">
        <is>
          <t>unknown</t>
        </is>
      </c>
    </row>
    <row r="106">
      <c r="A106" s="8" t="inlineStr">
        <is>
          <t>ed2cf81c-3d72-4360-8980-c0ee7fcb0674</t>
        </is>
      </c>
      <c r="B106" s="34" t="inlineStr">
        <is>
          <t>(name not on file)</t>
        </is>
      </c>
      <c r="C106" s="23" t="n">
        <v>46086</v>
      </c>
      <c r="D106" s="8" t="inlineStr">
        <is>
          <t>2026-03</t>
        </is>
      </c>
      <c r="E106" s="8" t="b">
        <v>1</v>
      </c>
      <c r="F106" s="8" t="b">
        <v>1</v>
      </c>
      <c r="G106" s="8" t="b">
        <v>1</v>
      </c>
      <c r="H106" s="8" t="b">
        <v>1</v>
      </c>
      <c r="I106" s="8" t="b">
        <v>1</v>
      </c>
      <c r="J106" s="8" t="b">
        <v>0</v>
      </c>
      <c r="K106" s="8" t="b">
        <v>1</v>
      </c>
      <c r="L106" s="8" t="b">
        <v>1</v>
      </c>
      <c r="M106" s="8" t="b">
        <v>1</v>
      </c>
      <c r="N106" s="8" t="b">
        <v>1</v>
      </c>
      <c r="O106" s="8" t="n">
        <v>0</v>
      </c>
      <c r="P106" s="8" t="n">
        <v>0</v>
      </c>
      <c r="Q106" s="8" t="n">
        <v>0</v>
      </c>
      <c r="R106" s="8" t="n"/>
      <c r="S106" s="23" t="n"/>
      <c r="T106" s="23" t="n"/>
      <c r="U106" s="8" t="n">
        <v>0</v>
      </c>
      <c r="V106" s="9" t="n">
        <v>0</v>
      </c>
      <c r="W106" s="8" t="n"/>
      <c r="X106" s="9" t="n"/>
      <c r="Y106" s="8" t="n"/>
      <c r="Z106" s="8" t="inlineStr">
        <is>
          <t>unknown</t>
        </is>
      </c>
    </row>
    <row r="107">
      <c r="A107" s="11" t="inlineStr">
        <is>
          <t>3de970fc-6c2a-49ef-9fb0-1f0de43eb9bb</t>
        </is>
      </c>
      <c r="B107" s="33" t="inlineStr">
        <is>
          <t>(name not on file)</t>
        </is>
      </c>
      <c r="C107" s="24" t="n">
        <v>46086</v>
      </c>
      <c r="D107" s="11" t="inlineStr">
        <is>
          <t>2026-03</t>
        </is>
      </c>
      <c r="E107" s="11" t="b">
        <v>1</v>
      </c>
      <c r="F107" s="11" t="b">
        <v>1</v>
      </c>
      <c r="G107" s="11" t="b">
        <v>1</v>
      </c>
      <c r="H107" s="11" t="b">
        <v>1</v>
      </c>
      <c r="I107" s="11" t="b">
        <v>1</v>
      </c>
      <c r="J107" s="11" t="b">
        <v>0</v>
      </c>
      <c r="K107" s="11" t="b">
        <v>1</v>
      </c>
      <c r="L107" s="11" t="b">
        <v>1</v>
      </c>
      <c r="M107" s="11" t="b">
        <v>1</v>
      </c>
      <c r="N107" s="11" t="b">
        <v>1</v>
      </c>
      <c r="O107" s="11" t="n">
        <v>0</v>
      </c>
      <c r="P107" s="11" t="n">
        <v>0</v>
      </c>
      <c r="Q107" s="11" t="n">
        <v>0</v>
      </c>
      <c r="R107" s="11" t="n"/>
      <c r="S107" s="24" t="n"/>
      <c r="T107" s="24" t="n"/>
      <c r="U107" s="11" t="n">
        <v>0</v>
      </c>
      <c r="V107" s="12" t="n">
        <v>0</v>
      </c>
      <c r="W107" s="11" t="n"/>
      <c r="X107" s="12" t="n"/>
      <c r="Y107" s="11" t="n"/>
      <c r="Z107" s="11" t="inlineStr">
        <is>
          <t>unknown</t>
        </is>
      </c>
    </row>
    <row r="108">
      <c r="A108" s="8" t="inlineStr">
        <is>
          <t>ba888c97-7ef0-458b-9509-f43966d256aa</t>
        </is>
      </c>
      <c r="B108" s="8" t="inlineStr">
        <is>
          <t>Kindness Massage</t>
        </is>
      </c>
      <c r="C108" s="23" t="n">
        <v>46086</v>
      </c>
      <c r="D108" s="8" t="inlineStr">
        <is>
          <t>2026-03</t>
        </is>
      </c>
      <c r="E108" s="8" t="b">
        <v>1</v>
      </c>
      <c r="F108" s="8" t="b">
        <v>1</v>
      </c>
      <c r="G108" s="8" t="b">
        <v>1</v>
      </c>
      <c r="H108" s="8" t="b">
        <v>1</v>
      </c>
      <c r="I108" s="8" t="b">
        <v>1</v>
      </c>
      <c r="J108" s="8" t="b">
        <v>1</v>
      </c>
      <c r="K108" s="8" t="b">
        <v>0</v>
      </c>
      <c r="L108" s="8" t="b">
        <v>1</v>
      </c>
      <c r="M108" s="8" t="b">
        <v>1</v>
      </c>
      <c r="N108" s="8" t="b">
        <v>1</v>
      </c>
      <c r="O108" s="8" t="n">
        <v>164</v>
      </c>
      <c r="P108" s="8" t="n">
        <v>103</v>
      </c>
      <c r="Q108" s="8" t="n">
        <v>0</v>
      </c>
      <c r="R108" s="8" t="n"/>
      <c r="S108" s="23" t="n">
        <v>46086</v>
      </c>
      <c r="T108" s="23" t="n">
        <v>46236</v>
      </c>
      <c r="U108" s="8" t="n">
        <v>0</v>
      </c>
      <c r="V108" s="9" t="n">
        <v>0</v>
      </c>
      <c r="W108" s="8" t="inlineStr">
        <is>
          <t>169m4nUy2hjFi1Vuz</t>
        </is>
      </c>
      <c r="X108" s="9" t="n">
        <v>248</v>
      </c>
      <c r="Y108" s="8" t="inlineStr">
        <is>
          <t>active</t>
        </is>
      </c>
      <c r="Z108" s="8" t="inlineStr">
        <is>
          <t>gbp</t>
        </is>
      </c>
    </row>
    <row r="109">
      <c r="A109" s="11" t="inlineStr">
        <is>
          <t>78303b7a-d9cd-4399-a2a0-7fe3324fc2a7</t>
        </is>
      </c>
      <c r="B109" s="11" t="inlineStr">
        <is>
          <t>Flawless Face &amp; Wax by Felecia</t>
        </is>
      </c>
      <c r="C109" s="24" t="n">
        <v>46086</v>
      </c>
      <c r="D109" s="11" t="inlineStr">
        <is>
          <t>2026-03</t>
        </is>
      </c>
      <c r="E109" s="11" t="b">
        <v>1</v>
      </c>
      <c r="F109" s="11" t="b">
        <v>1</v>
      </c>
      <c r="G109" s="11" t="b">
        <v>1</v>
      </c>
      <c r="H109" s="11" t="b">
        <v>1</v>
      </c>
      <c r="I109" s="11" t="b">
        <v>1</v>
      </c>
      <c r="J109" s="11" t="b">
        <v>0</v>
      </c>
      <c r="K109" s="11" t="b">
        <v>0</v>
      </c>
      <c r="L109" s="11" t="b">
        <v>0</v>
      </c>
      <c r="M109" s="11" t="b">
        <v>0</v>
      </c>
      <c r="N109" s="11" t="b">
        <v>0</v>
      </c>
      <c r="O109" s="11" t="n">
        <v>0</v>
      </c>
      <c r="P109" s="11" t="n">
        <v>0</v>
      </c>
      <c r="Q109" s="11" t="n">
        <v>0</v>
      </c>
      <c r="R109" s="11" t="n"/>
      <c r="S109" s="24" t="n"/>
      <c r="T109" s="24" t="n"/>
      <c r="U109" s="11" t="n">
        <v>0</v>
      </c>
      <c r="V109" s="12" t="n">
        <v>0</v>
      </c>
      <c r="W109" s="11" t="n"/>
      <c r="X109" s="12" t="n"/>
      <c r="Y109" s="11" t="n"/>
      <c r="Z109" s="11" t="inlineStr">
        <is>
          <t>gbp</t>
        </is>
      </c>
    </row>
    <row r="110">
      <c r="A110" s="8" t="inlineStr">
        <is>
          <t>b105cf01-8be7-4c7e-a158-c9e4deb10a1d</t>
        </is>
      </c>
      <c r="B110" s="8" t="inlineStr">
        <is>
          <t>Heavenly Touch by Donna</t>
        </is>
      </c>
      <c r="C110" s="23" t="n">
        <v>46086</v>
      </c>
      <c r="D110" s="8" t="inlineStr">
        <is>
          <t>2026-03</t>
        </is>
      </c>
      <c r="E110" s="8" t="b">
        <v>1</v>
      </c>
      <c r="F110" s="8" t="b">
        <v>1</v>
      </c>
      <c r="G110" s="8" t="b">
        <v>1</v>
      </c>
      <c r="H110" s="8" t="b">
        <v>1</v>
      </c>
      <c r="I110" s="8" t="b">
        <v>1</v>
      </c>
      <c r="J110" s="8" t="b">
        <v>1</v>
      </c>
      <c r="K110" s="8" t="b">
        <v>0</v>
      </c>
      <c r="L110" s="8" t="b">
        <v>1</v>
      </c>
      <c r="M110" s="8" t="b">
        <v>1</v>
      </c>
      <c r="N110" s="8" t="b">
        <v>1</v>
      </c>
      <c r="O110" s="8" t="n">
        <v>32</v>
      </c>
      <c r="P110" s="8" t="n">
        <v>8</v>
      </c>
      <c r="Q110" s="8" t="n">
        <v>0</v>
      </c>
      <c r="R110" s="8" t="n"/>
      <c r="S110" s="23" t="n">
        <v>46123</v>
      </c>
      <c r="T110" s="23" t="n">
        <v>46237</v>
      </c>
      <c r="U110" s="8" t="n">
        <v>0</v>
      </c>
      <c r="V110" s="9" t="n">
        <v>0</v>
      </c>
      <c r="W110" s="8" t="inlineStr">
        <is>
          <t>16BcgdV2pu06pjj0</t>
        </is>
      </c>
      <c r="X110" s="9" t="n">
        <v>199</v>
      </c>
      <c r="Y110" s="8" t="inlineStr">
        <is>
          <t>active</t>
        </is>
      </c>
      <c r="Z110" s="8" t="inlineStr">
        <is>
          <t>gbp</t>
        </is>
      </c>
    </row>
    <row r="111">
      <c r="A111" s="11" t="inlineStr">
        <is>
          <t>1766b0d3-f81e-4895-93be-f50b48dcc6ae</t>
        </is>
      </c>
      <c r="B111" s="11" t="inlineStr">
        <is>
          <t>Natasha super salon</t>
        </is>
      </c>
      <c r="C111" s="24" t="n">
        <v>46087</v>
      </c>
      <c r="D111" s="11" t="inlineStr">
        <is>
          <t>2026-03</t>
        </is>
      </c>
      <c r="E111" s="11" t="b">
        <v>1</v>
      </c>
      <c r="F111" s="11" t="b">
        <v>1</v>
      </c>
      <c r="G111" s="11" t="b">
        <v>1</v>
      </c>
      <c r="H111" s="11" t="b">
        <v>1</v>
      </c>
      <c r="I111" s="11" t="b">
        <v>1</v>
      </c>
      <c r="J111" s="11" t="b">
        <v>0</v>
      </c>
      <c r="K111" s="11" t="b">
        <v>1</v>
      </c>
      <c r="L111" s="11" t="b">
        <v>1</v>
      </c>
      <c r="M111" s="11" t="b">
        <v>1</v>
      </c>
      <c r="N111" s="11" t="b">
        <v>1</v>
      </c>
      <c r="O111" s="11" t="n">
        <v>5</v>
      </c>
      <c r="P111" s="11" t="n">
        <v>5</v>
      </c>
      <c r="Q111" s="11" t="n">
        <v>0</v>
      </c>
      <c r="R111" s="11" t="n"/>
      <c r="S111" s="24" t="n">
        <v>46087</v>
      </c>
      <c r="T111" s="24" t="n">
        <v>46087</v>
      </c>
      <c r="U111" s="11" t="n">
        <v>1</v>
      </c>
      <c r="V111" s="12" t="n">
        <v>45</v>
      </c>
      <c r="W111" s="11" t="n"/>
      <c r="X111" s="12" t="n"/>
      <c r="Y111" s="11" t="n"/>
      <c r="Z111" s="11" t="inlineStr">
        <is>
          <t>gbp_logs</t>
        </is>
      </c>
    </row>
    <row r="112">
      <c r="A112" s="8" t="inlineStr">
        <is>
          <t>c2df4b6a-2c1d-4a33-bc7c-af3af4d1fcce</t>
        </is>
      </c>
      <c r="B112" s="8" t="inlineStr">
        <is>
          <t>Charlotte African hair braiding</t>
        </is>
      </c>
      <c r="C112" s="23" t="n">
        <v>46087</v>
      </c>
      <c r="D112" s="8" t="inlineStr">
        <is>
          <t>2026-03</t>
        </is>
      </c>
      <c r="E112" s="8" t="b">
        <v>1</v>
      </c>
      <c r="F112" s="8" t="b">
        <v>1</v>
      </c>
      <c r="G112" s="8" t="b">
        <v>1</v>
      </c>
      <c r="H112" s="8" t="b">
        <v>1</v>
      </c>
      <c r="I112" s="8" t="b">
        <v>1</v>
      </c>
      <c r="J112" s="8" t="b">
        <v>0</v>
      </c>
      <c r="K112" s="8" t="b">
        <v>0</v>
      </c>
      <c r="L112" s="8" t="b">
        <v>0</v>
      </c>
      <c r="M112" s="8" t="b">
        <v>0</v>
      </c>
      <c r="N112" s="8" t="b">
        <v>0</v>
      </c>
      <c r="O112" s="8" t="n">
        <v>0</v>
      </c>
      <c r="P112" s="8" t="n">
        <v>0</v>
      </c>
      <c r="Q112" s="8" t="n">
        <v>0</v>
      </c>
      <c r="R112" s="8" t="n"/>
      <c r="S112" s="23" t="n"/>
      <c r="T112" s="23" t="n"/>
      <c r="U112" s="8" t="n">
        <v>0</v>
      </c>
      <c r="V112" s="9" t="n">
        <v>0</v>
      </c>
      <c r="W112" s="8" t="inlineStr">
        <is>
          <t>cus_P9D8q6qIZmvzmr</t>
        </is>
      </c>
      <c r="X112" s="9" t="n">
        <v>90</v>
      </c>
      <c r="Y112" s="8" t="inlineStr">
        <is>
          <t>active</t>
        </is>
      </c>
      <c r="Z112" s="8" t="inlineStr">
        <is>
          <t>gbp</t>
        </is>
      </c>
    </row>
    <row r="113">
      <c r="A113" s="11" t="inlineStr">
        <is>
          <t>7a4e6066-5f00-4c45-b376-ecba896c8980</t>
        </is>
      </c>
      <c r="B113" s="11" t="inlineStr">
        <is>
          <t>ML Esthetics</t>
        </is>
      </c>
      <c r="C113" s="24" t="n">
        <v>46090</v>
      </c>
      <c r="D113" s="11" t="inlineStr">
        <is>
          <t>2026-03</t>
        </is>
      </c>
      <c r="E113" s="11" t="b">
        <v>1</v>
      </c>
      <c r="F113" s="11" t="b">
        <v>1</v>
      </c>
      <c r="G113" s="11" t="b">
        <v>1</v>
      </c>
      <c r="H113" s="11" t="b">
        <v>1</v>
      </c>
      <c r="I113" s="11" t="b">
        <v>1</v>
      </c>
      <c r="J113" s="11" t="b">
        <v>0</v>
      </c>
      <c r="K113" s="11" t="b">
        <v>1</v>
      </c>
      <c r="L113" s="11" t="b">
        <v>1</v>
      </c>
      <c r="M113" s="11" t="b">
        <v>1</v>
      </c>
      <c r="N113" s="11" t="b">
        <v>1</v>
      </c>
      <c r="O113" s="11" t="n">
        <v>157</v>
      </c>
      <c r="P113" s="11" t="n">
        <v>24</v>
      </c>
      <c r="Q113" s="11" t="n">
        <v>0</v>
      </c>
      <c r="R113" s="11" t="n"/>
      <c r="S113" s="24" t="n">
        <v>45695</v>
      </c>
      <c r="T113" s="24" t="n">
        <v>46175</v>
      </c>
      <c r="U113" s="11" t="n">
        <v>0</v>
      </c>
      <c r="V113" s="12" t="n">
        <v>0</v>
      </c>
      <c r="W113" s="11" t="inlineStr">
        <is>
          <t>cus_Rj5WiNBpr8KVs8</t>
        </is>
      </c>
      <c r="X113" s="12" t="n"/>
      <c r="Y113" s="11" t="inlineStr">
        <is>
          <t>cancelled</t>
        </is>
      </c>
      <c r="Z113" s="11" t="inlineStr">
        <is>
          <t>gbp</t>
        </is>
      </c>
    </row>
    <row r="114">
      <c r="A114" s="8" t="inlineStr">
        <is>
          <t>f02dfe5e-3ae3-4eb8-8b0d-a9fe42bd8250</t>
        </is>
      </c>
      <c r="B114" s="8" t="inlineStr">
        <is>
          <t>Valescabraiding</t>
        </is>
      </c>
      <c r="C114" s="23" t="n">
        <v>46090</v>
      </c>
      <c r="D114" s="8" t="inlineStr">
        <is>
          <t>2026-03</t>
        </is>
      </c>
      <c r="E114" s="8" t="b">
        <v>1</v>
      </c>
      <c r="F114" s="8" t="b">
        <v>1</v>
      </c>
      <c r="G114" s="8" t="b">
        <v>1</v>
      </c>
      <c r="H114" s="8" t="b">
        <v>1</v>
      </c>
      <c r="I114" s="8" t="b">
        <v>1</v>
      </c>
      <c r="J114" s="8" t="b">
        <v>1</v>
      </c>
      <c r="K114" s="8" t="b">
        <v>0</v>
      </c>
      <c r="L114" s="8" t="b">
        <v>1</v>
      </c>
      <c r="M114" s="8" t="b">
        <v>1</v>
      </c>
      <c r="N114" s="8" t="b">
        <v>1</v>
      </c>
      <c r="O114" s="8" t="n">
        <v>5</v>
      </c>
      <c r="P114" s="8" t="n">
        <v>3</v>
      </c>
      <c r="Q114" s="8" t="n">
        <v>0</v>
      </c>
      <c r="R114" s="8" t="n"/>
      <c r="S114" s="23" t="n">
        <v>46091</v>
      </c>
      <c r="T114" s="23" t="n">
        <v>46156</v>
      </c>
      <c r="U114" s="8" t="n">
        <v>0</v>
      </c>
      <c r="V114" s="9" t="n">
        <v>0</v>
      </c>
      <c r="W114" s="8" t="n"/>
      <c r="X114" s="9" t="n"/>
      <c r="Y114" s="8" t="n"/>
      <c r="Z114" s="8" t="inlineStr">
        <is>
          <t>gbp</t>
        </is>
      </c>
    </row>
    <row r="115">
      <c r="A115" s="11" t="inlineStr">
        <is>
          <t>114819b8-9f6f-4e6d-affe-18f29bc2bad2</t>
        </is>
      </c>
      <c r="B115" s="11" t="inlineStr">
        <is>
          <t>Natasha super salon</t>
        </is>
      </c>
      <c r="C115" s="24" t="n">
        <v>46092</v>
      </c>
      <c r="D115" s="11" t="inlineStr">
        <is>
          <t>2026-03</t>
        </is>
      </c>
      <c r="E115" s="11" t="b">
        <v>1</v>
      </c>
      <c r="F115" s="11" t="b">
        <v>1</v>
      </c>
      <c r="G115" s="11" t="b">
        <v>1</v>
      </c>
      <c r="H115" s="11" t="b">
        <v>1</v>
      </c>
      <c r="I115" s="11" t="b">
        <v>1</v>
      </c>
      <c r="J115" s="11" t="b">
        <v>0</v>
      </c>
      <c r="K115" s="11" t="b">
        <v>1</v>
      </c>
      <c r="L115" s="11" t="b">
        <v>1</v>
      </c>
      <c r="M115" s="11" t="b">
        <v>1</v>
      </c>
      <c r="N115" s="11" t="b">
        <v>1</v>
      </c>
      <c r="O115" s="11" t="n">
        <v>47</v>
      </c>
      <c r="P115" s="11" t="n">
        <v>11</v>
      </c>
      <c r="Q115" s="11" t="n">
        <v>0</v>
      </c>
      <c r="R115" s="11" t="n"/>
      <c r="S115" s="24" t="n">
        <v>46092</v>
      </c>
      <c r="T115" s="24" t="n">
        <v>46093</v>
      </c>
      <c r="U115" s="11" t="n">
        <v>14</v>
      </c>
      <c r="V115" s="12" t="n">
        <v>540.77</v>
      </c>
      <c r="W115" s="11" t="n"/>
      <c r="X115" s="12" t="n"/>
      <c r="Y115" s="11" t="n"/>
      <c r="Z115" s="11" t="inlineStr">
        <is>
          <t>gbp_logs</t>
        </is>
      </c>
    </row>
    <row r="116">
      <c r="A116" s="8" t="inlineStr">
        <is>
          <t>1a594d9e-0d13-4235-9ff7-69e8a4ac1a5b</t>
        </is>
      </c>
      <c r="B116" s="8" t="inlineStr">
        <is>
          <t>Its saxena company</t>
        </is>
      </c>
      <c r="C116" s="23" t="n">
        <v>46092</v>
      </c>
      <c r="D116" s="8" t="inlineStr">
        <is>
          <t>2026-03</t>
        </is>
      </c>
      <c r="E116" s="8" t="b">
        <v>1</v>
      </c>
      <c r="F116" s="8" t="b">
        <v>1</v>
      </c>
      <c r="G116" s="8" t="b">
        <v>1</v>
      </c>
      <c r="H116" s="8" t="b">
        <v>1</v>
      </c>
      <c r="I116" s="8" t="b">
        <v>1</v>
      </c>
      <c r="J116" s="8" t="b">
        <v>0</v>
      </c>
      <c r="K116" s="8" t="b">
        <v>1</v>
      </c>
      <c r="L116" s="8" t="b">
        <v>1</v>
      </c>
      <c r="M116" s="8" t="b">
        <v>1</v>
      </c>
      <c r="N116" s="8" t="b">
        <v>1</v>
      </c>
      <c r="O116" s="8" t="n">
        <v>0</v>
      </c>
      <c r="P116" s="8" t="n">
        <v>0</v>
      </c>
      <c r="Q116" s="8" t="n">
        <v>0</v>
      </c>
      <c r="R116" s="8" t="n"/>
      <c r="S116" s="23" t="n"/>
      <c r="T116" s="23" t="n"/>
      <c r="U116" s="8" t="n">
        <v>0</v>
      </c>
      <c r="V116" s="9" t="n">
        <v>0</v>
      </c>
      <c r="W116" s="8" t="n"/>
      <c r="X116" s="9" t="n"/>
      <c r="Y116" s="8" t="n"/>
      <c r="Z116" s="8" t="inlineStr">
        <is>
          <t>gbp_logs</t>
        </is>
      </c>
    </row>
    <row r="117">
      <c r="A117" s="11" t="inlineStr">
        <is>
          <t>47297713-57a6-4198-863a-e44d46282399</t>
        </is>
      </c>
      <c r="B117" s="11" t="inlineStr">
        <is>
          <t>Gauri Khan Threading</t>
        </is>
      </c>
      <c r="C117" s="24" t="n">
        <v>46092</v>
      </c>
      <c r="D117" s="11" t="inlineStr">
        <is>
          <t>2026-03</t>
        </is>
      </c>
      <c r="E117" s="11" t="b">
        <v>1</v>
      </c>
      <c r="F117" s="11" t="b">
        <v>1</v>
      </c>
      <c r="G117" s="11" t="b">
        <v>1</v>
      </c>
      <c r="H117" s="11" t="b">
        <v>1</v>
      </c>
      <c r="I117" s="11" t="b">
        <v>1</v>
      </c>
      <c r="J117" s="11" t="b">
        <v>0</v>
      </c>
      <c r="K117" s="11" t="b">
        <v>1</v>
      </c>
      <c r="L117" s="11" t="b">
        <v>1</v>
      </c>
      <c r="M117" s="11" t="b">
        <v>1</v>
      </c>
      <c r="N117" s="11" t="b">
        <v>1</v>
      </c>
      <c r="O117" s="11" t="n">
        <v>14</v>
      </c>
      <c r="P117" s="11" t="n">
        <v>8</v>
      </c>
      <c r="Q117" s="11" t="n">
        <v>0</v>
      </c>
      <c r="R117" s="11" t="n"/>
      <c r="S117" s="24" t="n">
        <v>46092</v>
      </c>
      <c r="T117" s="24" t="n">
        <v>46093</v>
      </c>
      <c r="U117" s="11" t="n">
        <v>5</v>
      </c>
      <c r="V117" s="12" t="n">
        <v>311.78</v>
      </c>
      <c r="W117" s="11" t="n"/>
      <c r="X117" s="12" t="n"/>
      <c r="Y117" s="11" t="n"/>
      <c r="Z117" s="11" t="inlineStr">
        <is>
          <t>gbp_logs</t>
        </is>
      </c>
    </row>
    <row r="118">
      <c r="A118" s="8" t="inlineStr">
        <is>
          <t>e3dc5b9f-56fa-4ee4-a974-84f4dfabed48</t>
        </is>
      </c>
      <c r="B118" s="8" t="inlineStr">
        <is>
          <t>African Hair Braiding by Hawa</t>
        </is>
      </c>
      <c r="C118" s="23" t="n">
        <v>46092</v>
      </c>
      <c r="D118" s="8" t="inlineStr">
        <is>
          <t>2026-03</t>
        </is>
      </c>
      <c r="E118" s="8" t="b">
        <v>1</v>
      </c>
      <c r="F118" s="8" t="b">
        <v>1</v>
      </c>
      <c r="G118" s="8" t="b">
        <v>1</v>
      </c>
      <c r="H118" s="8" t="b">
        <v>1</v>
      </c>
      <c r="I118" s="8" t="b">
        <v>1</v>
      </c>
      <c r="J118" s="8" t="b">
        <v>1</v>
      </c>
      <c r="K118" s="8" t="b">
        <v>0</v>
      </c>
      <c r="L118" s="8" t="b">
        <v>1</v>
      </c>
      <c r="M118" s="8" t="b">
        <v>1</v>
      </c>
      <c r="N118" s="8" t="b">
        <v>1</v>
      </c>
      <c r="O118" s="8" t="n">
        <v>17</v>
      </c>
      <c r="P118" s="8" t="n">
        <v>17</v>
      </c>
      <c r="Q118" s="8" t="n">
        <v>0</v>
      </c>
      <c r="R118" s="8" t="n"/>
      <c r="S118" s="23" t="n">
        <v>46103</v>
      </c>
      <c r="T118" s="23" t="n">
        <v>46230</v>
      </c>
      <c r="U118" s="8" t="n">
        <v>17</v>
      </c>
      <c r="V118" s="9" t="n">
        <v>540</v>
      </c>
      <c r="W118" s="8" t="inlineStr">
        <is>
          <t>16CKWJUpdCJRi1kZB</t>
        </is>
      </c>
      <c r="X118" s="9" t="n">
        <v>100</v>
      </c>
      <c r="Y118" s="8" t="inlineStr">
        <is>
          <t>active</t>
        </is>
      </c>
      <c r="Z118" s="8" t="inlineStr">
        <is>
          <t>gbp</t>
        </is>
      </c>
    </row>
    <row r="119">
      <c r="A119" s="11" t="inlineStr">
        <is>
          <t>cfc5c8ce-fd34-49e1-aa21-49d3c47a66ab</t>
        </is>
      </c>
      <c r="B119" s="11" t="inlineStr">
        <is>
          <t>Bob consultancy</t>
        </is>
      </c>
      <c r="C119" s="24" t="n">
        <v>46092</v>
      </c>
      <c r="D119" s="11" t="inlineStr">
        <is>
          <t>2026-03</t>
        </is>
      </c>
      <c r="E119" s="11" t="b">
        <v>1</v>
      </c>
      <c r="F119" s="11" t="b">
        <v>1</v>
      </c>
      <c r="G119" s="11" t="b">
        <v>1</v>
      </c>
      <c r="H119" s="11" t="b">
        <v>1</v>
      </c>
      <c r="I119" s="11" t="b">
        <v>1</v>
      </c>
      <c r="J119" s="11" t="b">
        <v>0</v>
      </c>
      <c r="K119" s="11" t="b">
        <v>1</v>
      </c>
      <c r="L119" s="11" t="b">
        <v>1</v>
      </c>
      <c r="M119" s="11" t="b">
        <v>1</v>
      </c>
      <c r="N119" s="11" t="b">
        <v>1</v>
      </c>
      <c r="O119" s="11" t="n">
        <v>0</v>
      </c>
      <c r="P119" s="11" t="n">
        <v>0</v>
      </c>
      <c r="Q119" s="11" t="n">
        <v>0</v>
      </c>
      <c r="R119" s="11" t="n"/>
      <c r="S119" s="24" t="n"/>
      <c r="T119" s="24" t="n"/>
      <c r="U119" s="11" t="n">
        <v>0</v>
      </c>
      <c r="V119" s="12" t="n">
        <v>0</v>
      </c>
      <c r="W119" s="11" t="n"/>
      <c r="X119" s="12" t="n"/>
      <c r="Y119" s="11" t="n"/>
      <c r="Z119" s="11" t="inlineStr">
        <is>
          <t>gbp_logs</t>
        </is>
      </c>
    </row>
    <row r="120">
      <c r="A120" s="8" t="inlineStr">
        <is>
          <t>12d1230a-7f02-467f-b32c-ccefbe2d268a</t>
        </is>
      </c>
      <c r="B120" s="8" t="inlineStr">
        <is>
          <t>ChinnysFlair</t>
        </is>
      </c>
      <c r="C120" s="23" t="n">
        <v>46092</v>
      </c>
      <c r="D120" s="8" t="inlineStr">
        <is>
          <t>2026-03</t>
        </is>
      </c>
      <c r="E120" s="8" t="b">
        <v>1</v>
      </c>
      <c r="F120" s="8" t="b">
        <v>1</v>
      </c>
      <c r="G120" s="8" t="b">
        <v>1</v>
      </c>
      <c r="H120" s="8" t="b">
        <v>1</v>
      </c>
      <c r="I120" s="8" t="b">
        <v>1</v>
      </c>
      <c r="J120" s="8" t="b">
        <v>0</v>
      </c>
      <c r="K120" s="8" t="b">
        <v>1</v>
      </c>
      <c r="L120" s="8" t="b">
        <v>1</v>
      </c>
      <c r="M120" s="8" t="b">
        <v>1</v>
      </c>
      <c r="N120" s="8" t="b">
        <v>1</v>
      </c>
      <c r="O120" s="8" t="n">
        <v>33</v>
      </c>
      <c r="P120" s="8" t="n">
        <v>25</v>
      </c>
      <c r="Q120" s="8" t="n">
        <v>0</v>
      </c>
      <c r="R120" s="8" t="n"/>
      <c r="S120" s="23" t="n">
        <v>46099</v>
      </c>
      <c r="T120" s="23" t="n">
        <v>46233</v>
      </c>
      <c r="U120" s="8" t="n">
        <v>4</v>
      </c>
      <c r="V120" s="9" t="n">
        <v>687.5</v>
      </c>
      <c r="W120" s="8" t="inlineStr">
        <is>
          <t>169z91UzihO0y1liT</t>
        </is>
      </c>
      <c r="X120" s="9" t="n">
        <v>199</v>
      </c>
      <c r="Y120" s="8" t="inlineStr">
        <is>
          <t>active</t>
        </is>
      </c>
      <c r="Z120" s="8" t="inlineStr">
        <is>
          <t>gbp</t>
        </is>
      </c>
    </row>
    <row r="121">
      <c r="A121" s="11" t="inlineStr">
        <is>
          <t>d8ea4418-1505-4624-a781-0d50c6fc9398</t>
        </is>
      </c>
      <c r="B121" s="11" t="inlineStr">
        <is>
          <t>Saxena's spa</t>
        </is>
      </c>
      <c r="C121" s="24" t="n">
        <v>46093</v>
      </c>
      <c r="D121" s="11" t="inlineStr">
        <is>
          <t>2026-03</t>
        </is>
      </c>
      <c r="E121" s="11" t="b">
        <v>1</v>
      </c>
      <c r="F121" s="11" t="b">
        <v>1</v>
      </c>
      <c r="G121" s="11" t="b">
        <v>1</v>
      </c>
      <c r="H121" s="11" t="b">
        <v>1</v>
      </c>
      <c r="I121" s="11" t="b">
        <v>1</v>
      </c>
      <c r="J121" s="11" t="b">
        <v>0</v>
      </c>
      <c r="K121" s="11" t="b">
        <v>1</v>
      </c>
      <c r="L121" s="11" t="b">
        <v>1</v>
      </c>
      <c r="M121" s="11" t="b">
        <v>1</v>
      </c>
      <c r="N121" s="11" t="b">
        <v>1</v>
      </c>
      <c r="O121" s="11" t="n">
        <v>12</v>
      </c>
      <c r="P121" s="11" t="n">
        <v>4</v>
      </c>
      <c r="Q121" s="11" t="n">
        <v>0</v>
      </c>
      <c r="R121" s="11" t="n"/>
      <c r="S121" s="24" t="n">
        <v>46093</v>
      </c>
      <c r="T121" s="24" t="n">
        <v>46094</v>
      </c>
      <c r="U121" s="11" t="n">
        <v>2</v>
      </c>
      <c r="V121" s="12" t="n">
        <v>7200</v>
      </c>
      <c r="W121" s="11" t="n"/>
      <c r="X121" s="12" t="n"/>
      <c r="Y121" s="11" t="n"/>
      <c r="Z121" s="11" t="inlineStr">
        <is>
          <t>gbp_logs</t>
        </is>
      </c>
    </row>
    <row r="122">
      <c r="A122" s="8" t="inlineStr">
        <is>
          <t>5f68b43c-a28c-4b67-856f-279aad17d2d3</t>
        </is>
      </c>
      <c r="B122" s="34" t="inlineStr">
        <is>
          <t>(name not on file)</t>
        </is>
      </c>
      <c r="C122" s="23" t="n">
        <v>46093</v>
      </c>
      <c r="D122" s="8" t="inlineStr">
        <is>
          <t>2026-03</t>
        </is>
      </c>
      <c r="E122" s="8" t="b">
        <v>1</v>
      </c>
      <c r="F122" s="8" t="b">
        <v>1</v>
      </c>
      <c r="G122" s="8" t="b">
        <v>1</v>
      </c>
      <c r="H122" s="8" t="b">
        <v>1</v>
      </c>
      <c r="I122" s="8" t="b">
        <v>1</v>
      </c>
      <c r="J122" s="8" t="b">
        <v>0</v>
      </c>
      <c r="K122" s="8" t="b">
        <v>1</v>
      </c>
      <c r="L122" s="8" t="b">
        <v>1</v>
      </c>
      <c r="M122" s="8" t="b">
        <v>1</v>
      </c>
      <c r="N122" s="8" t="b">
        <v>1</v>
      </c>
      <c r="O122" s="8" t="n">
        <v>0</v>
      </c>
      <c r="P122" s="8" t="n">
        <v>0</v>
      </c>
      <c r="Q122" s="8" t="n">
        <v>0</v>
      </c>
      <c r="R122" s="8" t="n"/>
      <c r="S122" s="23" t="n"/>
      <c r="T122" s="23" t="n"/>
      <c r="U122" s="8" t="n">
        <v>0</v>
      </c>
      <c r="V122" s="9" t="n">
        <v>0</v>
      </c>
      <c r="W122" s="8" t="n"/>
      <c r="X122" s="9" t="n"/>
      <c r="Y122" s="8" t="n"/>
      <c r="Z122" s="8" t="inlineStr">
        <is>
          <t>unknown</t>
        </is>
      </c>
    </row>
    <row r="123">
      <c r="A123" s="11" t="inlineStr">
        <is>
          <t>3799556a-88ae-4fab-8414-bbe51d71c21f</t>
        </is>
      </c>
      <c r="B123" s="11" t="inlineStr">
        <is>
          <t>Saxena's spa</t>
        </is>
      </c>
      <c r="C123" s="24" t="n">
        <v>46094</v>
      </c>
      <c r="D123" s="11" t="inlineStr">
        <is>
          <t>2026-03</t>
        </is>
      </c>
      <c r="E123" s="11" t="b">
        <v>1</v>
      </c>
      <c r="F123" s="11" t="b">
        <v>1</v>
      </c>
      <c r="G123" s="11" t="b">
        <v>1</v>
      </c>
      <c r="H123" s="11" t="b">
        <v>1</v>
      </c>
      <c r="I123" s="11" t="b">
        <v>1</v>
      </c>
      <c r="J123" s="11" t="b">
        <v>0</v>
      </c>
      <c r="K123" s="11" t="b">
        <v>1</v>
      </c>
      <c r="L123" s="11" t="b">
        <v>1</v>
      </c>
      <c r="M123" s="11" t="b">
        <v>1</v>
      </c>
      <c r="N123" s="11" t="b">
        <v>1</v>
      </c>
      <c r="O123" s="11" t="n">
        <v>5</v>
      </c>
      <c r="P123" s="11" t="n">
        <v>0</v>
      </c>
      <c r="Q123" s="11" t="n">
        <v>0</v>
      </c>
      <c r="R123" s="11" t="n"/>
      <c r="S123" s="24" t="n">
        <v>46094</v>
      </c>
      <c r="T123" s="24" t="n">
        <v>46098</v>
      </c>
      <c r="U123" s="11" t="n">
        <v>0</v>
      </c>
      <c r="V123" s="12" t="n">
        <v>0</v>
      </c>
      <c r="W123" s="11" t="n"/>
      <c r="X123" s="12" t="n"/>
      <c r="Y123" s="11" t="n"/>
      <c r="Z123" s="11" t="inlineStr">
        <is>
          <t>gbp_logs</t>
        </is>
      </c>
    </row>
    <row r="124">
      <c r="A124" s="8" t="inlineStr">
        <is>
          <t>82f93ae1-5bce-453c-ab2d-85565b6eed8c</t>
        </is>
      </c>
      <c r="B124" s="8" t="inlineStr">
        <is>
          <t>Gauri Khan Threading</t>
        </is>
      </c>
      <c r="C124" s="23" t="n">
        <v>46094</v>
      </c>
      <c r="D124" s="8" t="inlineStr">
        <is>
          <t>2026-03</t>
        </is>
      </c>
      <c r="E124" s="8" t="b">
        <v>1</v>
      </c>
      <c r="F124" s="8" t="b">
        <v>1</v>
      </c>
      <c r="G124" s="8" t="b">
        <v>1</v>
      </c>
      <c r="H124" s="8" t="b">
        <v>1</v>
      </c>
      <c r="I124" s="8" t="b">
        <v>1</v>
      </c>
      <c r="J124" s="8" t="b">
        <v>0</v>
      </c>
      <c r="K124" s="8" t="b">
        <v>1</v>
      </c>
      <c r="L124" s="8" t="b">
        <v>1</v>
      </c>
      <c r="M124" s="8" t="b">
        <v>1</v>
      </c>
      <c r="N124" s="8" t="b">
        <v>1</v>
      </c>
      <c r="O124" s="8" t="n">
        <v>0</v>
      </c>
      <c r="P124" s="8" t="n">
        <v>0</v>
      </c>
      <c r="Q124" s="8" t="n">
        <v>0</v>
      </c>
      <c r="R124" s="8" t="n"/>
      <c r="S124" s="23" t="n"/>
      <c r="T124" s="23" t="n"/>
      <c r="U124" s="8" t="n">
        <v>0</v>
      </c>
      <c r="V124" s="9" t="n">
        <v>0</v>
      </c>
      <c r="W124" s="8" t="n"/>
      <c r="X124" s="9" t="n"/>
      <c r="Y124" s="8" t="n"/>
      <c r="Z124" s="8" t="inlineStr">
        <is>
          <t>gbp_logs</t>
        </is>
      </c>
    </row>
    <row r="125">
      <c r="A125" s="11" t="inlineStr">
        <is>
          <t>d4e95ff2-a5db-405a-b0b1-fc40e5512494</t>
        </is>
      </c>
      <c r="B125" s="11" t="inlineStr">
        <is>
          <t>Tokai Hair Salon</t>
        </is>
      </c>
      <c r="C125" s="24" t="n">
        <v>46097</v>
      </c>
      <c r="D125" s="11" t="inlineStr">
        <is>
          <t>2026-03</t>
        </is>
      </c>
      <c r="E125" s="11" t="b">
        <v>1</v>
      </c>
      <c r="F125" s="11" t="b">
        <v>1</v>
      </c>
      <c r="G125" s="11" t="b">
        <v>1</v>
      </c>
      <c r="H125" s="11" t="b">
        <v>1</v>
      </c>
      <c r="I125" s="11" t="b">
        <v>1</v>
      </c>
      <c r="J125" s="11" t="b">
        <v>0</v>
      </c>
      <c r="K125" s="11" t="b">
        <v>1</v>
      </c>
      <c r="L125" s="11" t="b">
        <v>1</v>
      </c>
      <c r="M125" s="11" t="b">
        <v>1</v>
      </c>
      <c r="N125" s="11" t="b">
        <v>1</v>
      </c>
      <c r="O125" s="11" t="n">
        <v>10</v>
      </c>
      <c r="P125" s="11" t="n">
        <v>10</v>
      </c>
      <c r="Q125" s="11" t="n">
        <v>0</v>
      </c>
      <c r="R125" s="11" t="n"/>
      <c r="S125" s="24" t="n">
        <v>46113</v>
      </c>
      <c r="T125" s="24" t="n">
        <v>46120</v>
      </c>
      <c r="U125" s="11" t="n">
        <v>1</v>
      </c>
      <c r="V125" s="12" t="n">
        <v>0.5</v>
      </c>
      <c r="W125" s="11" t="n"/>
      <c r="X125" s="12" t="n"/>
      <c r="Y125" s="11" t="n"/>
      <c r="Z125" s="11" t="inlineStr">
        <is>
          <t>gbp_logs</t>
        </is>
      </c>
    </row>
    <row r="126">
      <c r="A126" s="8" t="inlineStr">
        <is>
          <t>52e57b9c-3fbc-477c-a213-72507c3e9ff4</t>
        </is>
      </c>
      <c r="B126" s="8" t="inlineStr">
        <is>
          <t>JOSIE HAIR BRAIDING</t>
        </is>
      </c>
      <c r="C126" s="23" t="n">
        <v>46097</v>
      </c>
      <c r="D126" s="8" t="inlineStr">
        <is>
          <t>2026-03</t>
        </is>
      </c>
      <c r="E126" s="8" t="b">
        <v>1</v>
      </c>
      <c r="F126" s="8" t="b">
        <v>1</v>
      </c>
      <c r="G126" s="8" t="b">
        <v>1</v>
      </c>
      <c r="H126" s="8" t="b">
        <v>1</v>
      </c>
      <c r="I126" s="8" t="b">
        <v>1</v>
      </c>
      <c r="J126" s="8" t="b">
        <v>1</v>
      </c>
      <c r="K126" s="8" t="b">
        <v>1</v>
      </c>
      <c r="L126" s="8" t="b">
        <v>1</v>
      </c>
      <c r="M126" s="8" t="b">
        <v>1</v>
      </c>
      <c r="N126" s="8" t="b">
        <v>1</v>
      </c>
      <c r="O126" s="8" t="n">
        <v>146</v>
      </c>
      <c r="P126" s="8" t="n">
        <v>108</v>
      </c>
      <c r="Q126" s="8" t="n">
        <v>0</v>
      </c>
      <c r="R126" s="8" t="n"/>
      <c r="S126" s="23" t="n">
        <v>46100</v>
      </c>
      <c r="T126" s="23" t="n">
        <v>46237</v>
      </c>
      <c r="U126" s="8" t="n">
        <v>0</v>
      </c>
      <c r="V126" s="9" t="n">
        <v>0</v>
      </c>
      <c r="W126" s="8" t="inlineStr">
        <is>
          <t>AziGWlVCYg58OJKQ</t>
        </is>
      </c>
      <c r="X126" s="9" t="n">
        <v>150</v>
      </c>
      <c r="Y126" s="8" t="inlineStr">
        <is>
          <t>active</t>
        </is>
      </c>
      <c r="Z126" s="8" t="inlineStr">
        <is>
          <t>gbp</t>
        </is>
      </c>
    </row>
    <row r="127">
      <c r="A127" s="11" t="inlineStr">
        <is>
          <t>9111fc32-8e88-43e8-aadd-ab758a436542</t>
        </is>
      </c>
      <c r="B127" s="11" t="inlineStr">
        <is>
          <t>Pams Hair Designs, LLC | Extensions, Weaves</t>
        </is>
      </c>
      <c r="C127" s="24" t="n">
        <v>46097</v>
      </c>
      <c r="D127" s="11" t="inlineStr">
        <is>
          <t>2026-03</t>
        </is>
      </c>
      <c r="E127" s="11" t="b">
        <v>1</v>
      </c>
      <c r="F127" s="11" t="b">
        <v>1</v>
      </c>
      <c r="G127" s="11" t="b">
        <v>1</v>
      </c>
      <c r="H127" s="11" t="b">
        <v>1</v>
      </c>
      <c r="I127" s="11" t="b">
        <v>1</v>
      </c>
      <c r="J127" s="11" t="b">
        <v>1</v>
      </c>
      <c r="K127" s="11" t="b">
        <v>0</v>
      </c>
      <c r="L127" s="11" t="b">
        <v>1</v>
      </c>
      <c r="M127" s="11" t="b">
        <v>1</v>
      </c>
      <c r="N127" s="11" t="b">
        <v>1</v>
      </c>
      <c r="O127" s="11" t="n">
        <v>31</v>
      </c>
      <c r="P127" s="11" t="n">
        <v>15</v>
      </c>
      <c r="Q127" s="11" t="n">
        <v>0</v>
      </c>
      <c r="R127" s="11" t="n"/>
      <c r="S127" s="24" t="n">
        <v>46097</v>
      </c>
      <c r="T127" s="24" t="n">
        <v>46216</v>
      </c>
      <c r="U127" s="11" t="n">
        <v>9</v>
      </c>
      <c r="V127" s="12" t="n">
        <v>1850</v>
      </c>
      <c r="W127" s="11" t="inlineStr">
        <is>
          <t>cus_RXm6Cc6VEwACRn</t>
        </is>
      </c>
      <c r="X127" s="12" t="n">
        <v>100</v>
      </c>
      <c r="Y127" s="11" t="inlineStr">
        <is>
          <t>active</t>
        </is>
      </c>
      <c r="Z127" s="11" t="inlineStr">
        <is>
          <t>gbp</t>
        </is>
      </c>
    </row>
    <row r="128">
      <c r="A128" s="8" t="inlineStr">
        <is>
          <t>caa597b2-84b3-4cae-b33b-bcadd9f03a16</t>
        </is>
      </c>
      <c r="B128" s="8" t="inlineStr">
        <is>
          <t>African hair braiding by beju</t>
        </is>
      </c>
      <c r="C128" s="23" t="n">
        <v>46097</v>
      </c>
      <c r="D128" s="8" t="inlineStr">
        <is>
          <t>2026-03</t>
        </is>
      </c>
      <c r="E128" s="8" t="b">
        <v>1</v>
      </c>
      <c r="F128" s="8" t="b">
        <v>1</v>
      </c>
      <c r="G128" s="8" t="b">
        <v>1</v>
      </c>
      <c r="H128" s="8" t="b">
        <v>1</v>
      </c>
      <c r="I128" s="8" t="b">
        <v>1</v>
      </c>
      <c r="J128" s="8" t="b">
        <v>0</v>
      </c>
      <c r="K128" s="8" t="b">
        <v>1</v>
      </c>
      <c r="L128" s="8" t="b">
        <v>1</v>
      </c>
      <c r="M128" s="8" t="b">
        <v>1</v>
      </c>
      <c r="N128" s="8" t="b">
        <v>1</v>
      </c>
      <c r="O128" s="8" t="n">
        <v>104</v>
      </c>
      <c r="P128" s="8" t="n">
        <v>103</v>
      </c>
      <c r="Q128" s="8" t="n">
        <v>0</v>
      </c>
      <c r="R128" s="8" t="n"/>
      <c r="S128" s="23" t="n">
        <v>46098</v>
      </c>
      <c r="T128" s="23" t="n">
        <v>46235</v>
      </c>
      <c r="U128" s="8" t="n">
        <v>0</v>
      </c>
      <c r="V128" s="9" t="n">
        <v>0</v>
      </c>
      <c r="W128" s="8" t="inlineStr">
        <is>
          <t>169kD2VDrQFRLKPr</t>
        </is>
      </c>
      <c r="X128" s="9" t="n">
        <v>250</v>
      </c>
      <c r="Y128" s="8" t="inlineStr">
        <is>
          <t>active</t>
        </is>
      </c>
      <c r="Z128" s="8" t="inlineStr">
        <is>
          <t>gbp</t>
        </is>
      </c>
    </row>
    <row r="129">
      <c r="A129" s="11" t="inlineStr">
        <is>
          <t>007fc36c-ee3c-423a-92d0-7d98a198a3fb</t>
        </is>
      </c>
      <c r="B129" s="11" t="inlineStr">
        <is>
          <t>Efflorescence Aesthetic and Cellulite Reduction Spa</t>
        </is>
      </c>
      <c r="C129" s="24" t="n">
        <v>46097</v>
      </c>
      <c r="D129" s="11" t="inlineStr">
        <is>
          <t>2026-03</t>
        </is>
      </c>
      <c r="E129" s="11" t="b">
        <v>1</v>
      </c>
      <c r="F129" s="11" t="b">
        <v>1</v>
      </c>
      <c r="G129" s="11" t="b">
        <v>1</v>
      </c>
      <c r="H129" s="11" t="b">
        <v>1</v>
      </c>
      <c r="I129" s="11" t="b">
        <v>1</v>
      </c>
      <c r="J129" s="11" t="b">
        <v>0</v>
      </c>
      <c r="K129" s="11" t="b">
        <v>1</v>
      </c>
      <c r="L129" s="11" t="b">
        <v>1</v>
      </c>
      <c r="M129" s="11" t="b">
        <v>0</v>
      </c>
      <c r="N129" s="11" t="b">
        <v>0</v>
      </c>
      <c r="O129" s="11" t="n">
        <v>0</v>
      </c>
      <c r="P129" s="11" t="n">
        <v>0</v>
      </c>
      <c r="Q129" s="11" t="n">
        <v>0</v>
      </c>
      <c r="R129" s="11" t="n"/>
      <c r="S129" s="24" t="n"/>
      <c r="T129" s="24" t="n"/>
      <c r="U129" s="11" t="n">
        <v>0</v>
      </c>
      <c r="V129" s="12" t="n">
        <v>0</v>
      </c>
      <c r="W129" s="11" t="inlineStr">
        <is>
          <t>AzqR82UzF6jBKHvg</t>
        </is>
      </c>
      <c r="X129" s="12" t="n">
        <v>150</v>
      </c>
      <c r="Y129" s="11" t="inlineStr">
        <is>
          <t>active</t>
        </is>
      </c>
      <c r="Z129" s="11" t="inlineStr">
        <is>
          <t>gbp</t>
        </is>
      </c>
    </row>
    <row r="130">
      <c r="A130" s="8" t="inlineStr">
        <is>
          <t>251ff639-6c23-4a42-913e-e8e007b20e36</t>
        </is>
      </c>
      <c r="B130" s="8" t="inlineStr">
        <is>
          <t>Milona Hair Braiding &amp; Weaving</t>
        </is>
      </c>
      <c r="C130" s="23" t="n">
        <v>46097</v>
      </c>
      <c r="D130" s="8" t="inlineStr">
        <is>
          <t>2026-03</t>
        </is>
      </c>
      <c r="E130" s="8" t="b">
        <v>1</v>
      </c>
      <c r="F130" s="8" t="b">
        <v>1</v>
      </c>
      <c r="G130" s="8" t="b">
        <v>1</v>
      </c>
      <c r="H130" s="8" t="b">
        <v>1</v>
      </c>
      <c r="I130" s="8" t="b">
        <v>1</v>
      </c>
      <c r="J130" s="8" t="b">
        <v>0</v>
      </c>
      <c r="K130" s="8" t="b">
        <v>1</v>
      </c>
      <c r="L130" s="8" t="b">
        <v>1</v>
      </c>
      <c r="M130" s="8" t="b">
        <v>1</v>
      </c>
      <c r="N130" s="8" t="b">
        <v>1</v>
      </c>
      <c r="O130" s="8" t="n">
        <v>646</v>
      </c>
      <c r="P130" s="8" t="n">
        <v>132</v>
      </c>
      <c r="Q130" s="8" t="n">
        <v>0</v>
      </c>
      <c r="R130" s="8" t="n"/>
      <c r="S130" s="23" t="n">
        <v>45664</v>
      </c>
      <c r="T130" s="23" t="n">
        <v>46237</v>
      </c>
      <c r="U130" s="8" t="n">
        <v>68</v>
      </c>
      <c r="V130" s="9" t="n">
        <v>2692.5</v>
      </c>
      <c r="W130" s="8" t="inlineStr">
        <is>
          <t>cus_RUjxoTAwPCZo11</t>
        </is>
      </c>
      <c r="X130" s="9" t="n">
        <v>162.94</v>
      </c>
      <c r="Y130" s="8" t="inlineStr">
        <is>
          <t>active</t>
        </is>
      </c>
      <c r="Z130" s="8" t="inlineStr">
        <is>
          <t>gbp</t>
        </is>
      </c>
    </row>
    <row r="131">
      <c r="A131" s="11" t="inlineStr">
        <is>
          <t>5e8f2c82-ed17-4dd3-9874-d013480cfb79</t>
        </is>
      </c>
      <c r="B131" s="33" t="inlineStr">
        <is>
          <t>(name not on file)</t>
        </is>
      </c>
      <c r="C131" s="24" t="n">
        <v>46098</v>
      </c>
      <c r="D131" s="11" t="inlineStr">
        <is>
          <t>2026-03</t>
        </is>
      </c>
      <c r="E131" s="11" t="b">
        <v>1</v>
      </c>
      <c r="F131" s="11" t="b">
        <v>1</v>
      </c>
      <c r="G131" s="11" t="b">
        <v>1</v>
      </c>
      <c r="H131" s="11" t="b">
        <v>1</v>
      </c>
      <c r="I131" s="11" t="b">
        <v>1</v>
      </c>
      <c r="J131" s="11" t="b">
        <v>0</v>
      </c>
      <c r="K131" s="11" t="b">
        <v>1</v>
      </c>
      <c r="L131" s="11" t="b">
        <v>1</v>
      </c>
      <c r="M131" s="11" t="b">
        <v>1</v>
      </c>
      <c r="N131" s="11" t="b">
        <v>1</v>
      </c>
      <c r="O131" s="11" t="n">
        <v>1</v>
      </c>
      <c r="P131" s="11" t="n">
        <v>0</v>
      </c>
      <c r="Q131" s="11" t="n">
        <v>0</v>
      </c>
      <c r="R131" s="11" t="n"/>
      <c r="S131" s="24" t="n">
        <v>46099</v>
      </c>
      <c r="T131" s="24" t="n">
        <v>46099</v>
      </c>
      <c r="U131" s="11" t="n">
        <v>0</v>
      </c>
      <c r="V131" s="12" t="n">
        <v>0</v>
      </c>
      <c r="W131" s="11" t="n"/>
      <c r="X131" s="12" t="n"/>
      <c r="Y131" s="11" t="n"/>
      <c r="Z131" s="11" t="inlineStr">
        <is>
          <t>unknown</t>
        </is>
      </c>
    </row>
    <row r="132">
      <c r="A132" s="8" t="inlineStr">
        <is>
          <t>f1416ae6-ecc0-4d00-bad1-7be6df3632d1</t>
        </is>
      </c>
      <c r="B132" s="8" t="inlineStr">
        <is>
          <t>Aditi salon</t>
        </is>
      </c>
      <c r="C132" s="23" t="n">
        <v>46099</v>
      </c>
      <c r="D132" s="8" t="inlineStr">
        <is>
          <t>2026-03</t>
        </is>
      </c>
      <c r="E132" s="8" t="b">
        <v>1</v>
      </c>
      <c r="F132" s="8" t="b">
        <v>1</v>
      </c>
      <c r="G132" s="8" t="b">
        <v>1</v>
      </c>
      <c r="H132" s="8" t="b">
        <v>1</v>
      </c>
      <c r="I132" s="8" t="b">
        <v>1</v>
      </c>
      <c r="J132" s="8" t="b">
        <v>0</v>
      </c>
      <c r="K132" s="8" t="b">
        <v>1</v>
      </c>
      <c r="L132" s="8" t="b">
        <v>1</v>
      </c>
      <c r="M132" s="8" t="b">
        <v>1</v>
      </c>
      <c r="N132" s="8" t="b">
        <v>1</v>
      </c>
      <c r="O132" s="8" t="n">
        <v>9</v>
      </c>
      <c r="P132" s="8" t="n">
        <v>7</v>
      </c>
      <c r="Q132" s="8" t="n">
        <v>0</v>
      </c>
      <c r="R132" s="8" t="n"/>
      <c r="S132" s="23" t="n">
        <v>46104</v>
      </c>
      <c r="T132" s="23" t="n">
        <v>46111</v>
      </c>
      <c r="U132" s="8" t="n">
        <v>1</v>
      </c>
      <c r="V132" s="9" t="n">
        <v>2</v>
      </c>
      <c r="W132" s="8" t="n"/>
      <c r="X132" s="9" t="n"/>
      <c r="Y132" s="8" t="n"/>
      <c r="Z132" s="8" t="inlineStr">
        <is>
          <t>gbp</t>
        </is>
      </c>
    </row>
    <row r="133">
      <c r="A133" s="11" t="inlineStr">
        <is>
          <t>3ad201b4-0e1e-4db7-aa14-1af02bc9c033</t>
        </is>
      </c>
      <c r="B133" s="11" t="inlineStr">
        <is>
          <t>Aishwarya Facial Spa</t>
        </is>
      </c>
      <c r="C133" s="24" t="n">
        <v>46099</v>
      </c>
      <c r="D133" s="11" t="inlineStr">
        <is>
          <t>2026-03</t>
        </is>
      </c>
      <c r="E133" s="11" t="b">
        <v>1</v>
      </c>
      <c r="F133" s="11" t="b">
        <v>1</v>
      </c>
      <c r="G133" s="11" t="b">
        <v>1</v>
      </c>
      <c r="H133" s="11" t="b">
        <v>1</v>
      </c>
      <c r="I133" s="11" t="b">
        <v>1</v>
      </c>
      <c r="J133" s="11" t="b">
        <v>0</v>
      </c>
      <c r="K133" s="11" t="b">
        <v>1</v>
      </c>
      <c r="L133" s="11" t="b">
        <v>1</v>
      </c>
      <c r="M133" s="11" t="b">
        <v>1</v>
      </c>
      <c r="N133" s="11" t="b">
        <v>1</v>
      </c>
      <c r="O133" s="11" t="n">
        <v>0</v>
      </c>
      <c r="P133" s="11" t="n">
        <v>0</v>
      </c>
      <c r="Q133" s="11" t="n">
        <v>0</v>
      </c>
      <c r="R133" s="11" t="n"/>
      <c r="S133" s="24" t="n"/>
      <c r="T133" s="24" t="n"/>
      <c r="U133" s="11" t="n">
        <v>0</v>
      </c>
      <c r="V133" s="12" t="n">
        <v>0</v>
      </c>
      <c r="W133" s="11" t="n"/>
      <c r="X133" s="12" t="n"/>
      <c r="Y133" s="11" t="n"/>
      <c r="Z133" s="11" t="inlineStr">
        <is>
          <t>gbp_logs</t>
        </is>
      </c>
    </row>
    <row r="134">
      <c r="A134" s="8" t="inlineStr">
        <is>
          <t>052fa319-9299-464e-b836-de6e9fd38fb1</t>
        </is>
      </c>
      <c r="B134" s="8" t="inlineStr">
        <is>
          <t>Sharukh bhai salon</t>
        </is>
      </c>
      <c r="C134" s="23" t="n">
        <v>46099</v>
      </c>
      <c r="D134" s="8" t="inlineStr">
        <is>
          <t>2026-03</t>
        </is>
      </c>
      <c r="E134" s="8" t="b">
        <v>1</v>
      </c>
      <c r="F134" s="8" t="b">
        <v>1</v>
      </c>
      <c r="G134" s="8" t="b">
        <v>1</v>
      </c>
      <c r="H134" s="8" t="b">
        <v>1</v>
      </c>
      <c r="I134" s="8" t="b">
        <v>1</v>
      </c>
      <c r="J134" s="8" t="b">
        <v>0</v>
      </c>
      <c r="K134" s="8" t="b">
        <v>1</v>
      </c>
      <c r="L134" s="8" t="b">
        <v>1</v>
      </c>
      <c r="M134" s="8" t="b">
        <v>1</v>
      </c>
      <c r="N134" s="8" t="b">
        <v>1</v>
      </c>
      <c r="O134" s="8" t="n">
        <v>0</v>
      </c>
      <c r="P134" s="8" t="n">
        <v>0</v>
      </c>
      <c r="Q134" s="8" t="n">
        <v>0</v>
      </c>
      <c r="R134" s="8" t="n"/>
      <c r="S134" s="23" t="n"/>
      <c r="T134" s="23" t="n"/>
      <c r="U134" s="8" t="n">
        <v>0</v>
      </c>
      <c r="V134" s="9" t="n">
        <v>0</v>
      </c>
      <c r="W134" s="8" t="n"/>
      <c r="X134" s="9" t="n"/>
      <c r="Y134" s="8" t="n"/>
      <c r="Z134" s="8" t="inlineStr">
        <is>
          <t>gbp_logs</t>
        </is>
      </c>
    </row>
    <row r="135">
      <c r="A135" s="11" t="inlineStr">
        <is>
          <t>89be57dc-8f84-4e42-8dd0-e264504ab93e</t>
        </is>
      </c>
      <c r="B135" s="11" t="inlineStr">
        <is>
          <t>Karthik Andhra Gun Spa</t>
        </is>
      </c>
      <c r="C135" s="24" t="n">
        <v>46099</v>
      </c>
      <c r="D135" s="11" t="inlineStr">
        <is>
          <t>2026-03</t>
        </is>
      </c>
      <c r="E135" s="11" t="b">
        <v>1</v>
      </c>
      <c r="F135" s="11" t="b">
        <v>1</v>
      </c>
      <c r="G135" s="11" t="b">
        <v>1</v>
      </c>
      <c r="H135" s="11" t="b">
        <v>1</v>
      </c>
      <c r="I135" s="11" t="b">
        <v>1</v>
      </c>
      <c r="J135" s="11" t="b">
        <v>0</v>
      </c>
      <c r="K135" s="11" t="b">
        <v>1</v>
      </c>
      <c r="L135" s="11" t="b">
        <v>1</v>
      </c>
      <c r="M135" s="11" t="b">
        <v>1</v>
      </c>
      <c r="N135" s="11" t="b">
        <v>1</v>
      </c>
      <c r="O135" s="11" t="n">
        <v>1</v>
      </c>
      <c r="P135" s="11" t="n">
        <v>0</v>
      </c>
      <c r="Q135" s="11" t="n">
        <v>0</v>
      </c>
      <c r="R135" s="11" t="n"/>
      <c r="S135" s="24" t="n">
        <v>46099</v>
      </c>
      <c r="T135" s="24" t="n">
        <v>46099</v>
      </c>
      <c r="U135" s="11" t="n">
        <v>0</v>
      </c>
      <c r="V135" s="12" t="n">
        <v>0</v>
      </c>
      <c r="W135" s="11" t="n"/>
      <c r="X135" s="12" t="n"/>
      <c r="Y135" s="11" t="n"/>
      <c r="Z135" s="11" t="inlineStr">
        <is>
          <t>gbp</t>
        </is>
      </c>
    </row>
    <row r="136">
      <c r="A136" s="8" t="inlineStr">
        <is>
          <t>4150b944-f16d-4925-9421-ad977ff32f29</t>
        </is>
      </c>
      <c r="B136" s="8" t="inlineStr">
        <is>
          <t>Braids by Meliii</t>
        </is>
      </c>
      <c r="C136" s="23" t="n">
        <v>46099</v>
      </c>
      <c r="D136" s="8" t="inlineStr">
        <is>
          <t>2026-03</t>
        </is>
      </c>
      <c r="E136" s="8" t="b">
        <v>1</v>
      </c>
      <c r="F136" s="8" t="b">
        <v>1</v>
      </c>
      <c r="G136" s="8" t="b">
        <v>1</v>
      </c>
      <c r="H136" s="8" t="b">
        <v>1</v>
      </c>
      <c r="I136" s="8" t="b">
        <v>1</v>
      </c>
      <c r="J136" s="8" t="b">
        <v>1</v>
      </c>
      <c r="K136" s="8" t="b">
        <v>0</v>
      </c>
      <c r="L136" s="8" t="b">
        <v>1</v>
      </c>
      <c r="M136" s="8" t="b">
        <v>1</v>
      </c>
      <c r="N136" s="8" t="b">
        <v>1</v>
      </c>
      <c r="O136" s="8" t="n">
        <v>11</v>
      </c>
      <c r="P136" s="8" t="n">
        <v>11</v>
      </c>
      <c r="Q136" s="8" t="n">
        <v>0</v>
      </c>
      <c r="R136" s="8" t="n"/>
      <c r="S136" s="23" t="n">
        <v>46111</v>
      </c>
      <c r="T136" s="23" t="n">
        <v>46201</v>
      </c>
      <c r="U136" s="8" t="n">
        <v>2</v>
      </c>
      <c r="V136" s="9" t="n">
        <v>39</v>
      </c>
      <c r="W136" s="8" t="inlineStr">
        <is>
          <t>16BPXQVE4J6BSPM0</t>
        </is>
      </c>
      <c r="X136" s="9" t="n"/>
      <c r="Y136" s="8" t="inlineStr">
        <is>
          <t>cancelled</t>
        </is>
      </c>
      <c r="Z136" s="8" t="inlineStr">
        <is>
          <t>gbp</t>
        </is>
      </c>
    </row>
    <row r="137">
      <c r="A137" s="11" t="inlineStr">
        <is>
          <t>780b60fd-6272-4bf6-8fa5-d864534e4626</t>
        </is>
      </c>
      <c r="B137" s="11" t="inlineStr">
        <is>
          <t>Natasha super salon</t>
        </is>
      </c>
      <c r="C137" s="24" t="n">
        <v>46100</v>
      </c>
      <c r="D137" s="11" t="inlineStr">
        <is>
          <t>2026-03</t>
        </is>
      </c>
      <c r="E137" s="11" t="b">
        <v>1</v>
      </c>
      <c r="F137" s="11" t="b">
        <v>1</v>
      </c>
      <c r="G137" s="11" t="b">
        <v>1</v>
      </c>
      <c r="H137" s="11" t="b">
        <v>1</v>
      </c>
      <c r="I137" s="11" t="b">
        <v>1</v>
      </c>
      <c r="J137" s="11" t="b">
        <v>0</v>
      </c>
      <c r="K137" s="11" t="b">
        <v>1</v>
      </c>
      <c r="L137" s="11" t="b">
        <v>1</v>
      </c>
      <c r="M137" s="11" t="b">
        <v>1</v>
      </c>
      <c r="N137" s="11" t="b">
        <v>1</v>
      </c>
      <c r="O137" s="11" t="n">
        <v>0</v>
      </c>
      <c r="P137" s="11" t="n">
        <v>0</v>
      </c>
      <c r="Q137" s="11" t="n">
        <v>0</v>
      </c>
      <c r="R137" s="11" t="n"/>
      <c r="S137" s="24" t="n"/>
      <c r="T137" s="24" t="n"/>
      <c r="U137" s="11" t="n">
        <v>0</v>
      </c>
      <c r="V137" s="12" t="n">
        <v>0</v>
      </c>
      <c r="W137" s="11" t="n"/>
      <c r="X137" s="12" t="n"/>
      <c r="Y137" s="11" t="n"/>
      <c r="Z137" s="11" t="inlineStr">
        <is>
          <t>gbp_logs</t>
        </is>
      </c>
    </row>
    <row r="138">
      <c r="A138" s="8" t="inlineStr">
        <is>
          <t>fc95d61c-a5f6-487a-82ff-80d3dc8a525c</t>
        </is>
      </c>
      <c r="B138" s="8" t="inlineStr">
        <is>
          <t>Saxena's spa</t>
        </is>
      </c>
      <c r="C138" s="23" t="n">
        <v>46101</v>
      </c>
      <c r="D138" s="8" t="inlineStr">
        <is>
          <t>2026-03</t>
        </is>
      </c>
      <c r="E138" s="8" t="b">
        <v>1</v>
      </c>
      <c r="F138" s="8" t="b">
        <v>1</v>
      </c>
      <c r="G138" s="8" t="b">
        <v>1</v>
      </c>
      <c r="H138" s="8" t="b">
        <v>1</v>
      </c>
      <c r="I138" s="8" t="b">
        <v>1</v>
      </c>
      <c r="J138" s="8" t="b">
        <v>0</v>
      </c>
      <c r="K138" s="8" t="b">
        <v>1</v>
      </c>
      <c r="L138" s="8" t="b">
        <v>1</v>
      </c>
      <c r="M138" s="8" t="b">
        <v>1</v>
      </c>
      <c r="N138" s="8" t="b">
        <v>1</v>
      </c>
      <c r="O138" s="8" t="n">
        <v>0</v>
      </c>
      <c r="P138" s="8" t="n">
        <v>0</v>
      </c>
      <c r="Q138" s="8" t="n">
        <v>0</v>
      </c>
      <c r="R138" s="8" t="n"/>
      <c r="S138" s="23" t="n"/>
      <c r="T138" s="23" t="n"/>
      <c r="U138" s="8" t="n">
        <v>0</v>
      </c>
      <c r="V138" s="9" t="n">
        <v>0</v>
      </c>
      <c r="W138" s="8" t="n"/>
      <c r="X138" s="9" t="n"/>
      <c r="Y138" s="8" t="n"/>
      <c r="Z138" s="8" t="inlineStr">
        <is>
          <t>gbp_logs</t>
        </is>
      </c>
    </row>
    <row r="139">
      <c r="A139" s="11" t="inlineStr">
        <is>
          <t>f9e52ba4-3a81-4a71-b23f-6098ed5d7c07</t>
        </is>
      </c>
      <c r="B139" s="11" t="inlineStr">
        <is>
          <t>Natasha super salon</t>
        </is>
      </c>
      <c r="C139" s="24" t="n">
        <v>46101</v>
      </c>
      <c r="D139" s="11" t="inlineStr">
        <is>
          <t>2026-03</t>
        </is>
      </c>
      <c r="E139" s="11" t="b">
        <v>1</v>
      </c>
      <c r="F139" s="11" t="b">
        <v>1</v>
      </c>
      <c r="G139" s="11" t="b">
        <v>1</v>
      </c>
      <c r="H139" s="11" t="b">
        <v>1</v>
      </c>
      <c r="I139" s="11" t="b">
        <v>1</v>
      </c>
      <c r="J139" s="11" t="b">
        <v>0</v>
      </c>
      <c r="K139" s="11" t="b">
        <v>1</v>
      </c>
      <c r="L139" s="11" t="b">
        <v>1</v>
      </c>
      <c r="M139" s="11" t="b">
        <v>1</v>
      </c>
      <c r="N139" s="11" t="b">
        <v>1</v>
      </c>
      <c r="O139" s="11" t="n">
        <v>35</v>
      </c>
      <c r="P139" s="11" t="n">
        <v>6</v>
      </c>
      <c r="Q139" s="11" t="n">
        <v>0</v>
      </c>
      <c r="R139" s="11" t="n"/>
      <c r="S139" s="24" t="n">
        <v>46101</v>
      </c>
      <c r="T139" s="24" t="n">
        <v>46104</v>
      </c>
      <c r="U139" s="11" t="n">
        <v>19</v>
      </c>
      <c r="V139" s="12" t="n">
        <v>2109.9</v>
      </c>
      <c r="W139" s="11" t="n"/>
      <c r="X139" s="12" t="n"/>
      <c r="Y139" s="11" t="n"/>
      <c r="Z139" s="11" t="inlineStr">
        <is>
          <t>gbp_logs</t>
        </is>
      </c>
    </row>
    <row r="140">
      <c r="A140" s="8" t="inlineStr">
        <is>
          <t>16ce9985-3536-4a72-bedb-dfacb2f6c80d</t>
        </is>
      </c>
      <c r="B140" s="8" t="inlineStr">
        <is>
          <t>Michele Did My Hair LLC</t>
        </is>
      </c>
      <c r="C140" s="23" t="n">
        <v>46101</v>
      </c>
      <c r="D140" s="8" t="inlineStr">
        <is>
          <t>2026-03</t>
        </is>
      </c>
      <c r="E140" s="8" t="b">
        <v>1</v>
      </c>
      <c r="F140" s="8" t="b">
        <v>1</v>
      </c>
      <c r="G140" s="8" t="b">
        <v>0</v>
      </c>
      <c r="H140" s="8" t="b">
        <v>0</v>
      </c>
      <c r="I140" s="8" t="b">
        <v>0</v>
      </c>
      <c r="J140" s="8" t="b">
        <v>0</v>
      </c>
      <c r="K140" s="8" t="b">
        <v>0</v>
      </c>
      <c r="L140" s="8" t="b">
        <v>0</v>
      </c>
      <c r="M140" s="8" t="b">
        <v>0</v>
      </c>
      <c r="N140" s="8" t="b">
        <v>0</v>
      </c>
      <c r="O140" s="8" t="n">
        <v>0</v>
      </c>
      <c r="P140" s="8" t="n">
        <v>0</v>
      </c>
      <c r="Q140" s="8" t="n">
        <v>0</v>
      </c>
      <c r="R140" s="8" t="n"/>
      <c r="S140" s="23" t="n"/>
      <c r="T140" s="23" t="n"/>
      <c r="U140" s="8" t="n">
        <v>0</v>
      </c>
      <c r="V140" s="9" t="n">
        <v>0</v>
      </c>
      <c r="W140" s="8" t="inlineStr">
        <is>
          <t>AzZf8YUwDmiGVhnx</t>
        </is>
      </c>
      <c r="X140" s="9" t="n">
        <v>150</v>
      </c>
      <c r="Y140" s="8" t="inlineStr">
        <is>
          <t>active</t>
        </is>
      </c>
      <c r="Z140" s="8" t="inlineStr">
        <is>
          <t>gbp</t>
        </is>
      </c>
    </row>
    <row r="141">
      <c r="A141" s="11" t="inlineStr">
        <is>
          <t>2bb7906b-44b7-4189-8b1c-a002bec483b3</t>
        </is>
      </c>
      <c r="B141" s="11" t="inlineStr">
        <is>
          <t>Enhance Aesthetics</t>
        </is>
      </c>
      <c r="C141" s="24" t="n">
        <v>46101</v>
      </c>
      <c r="D141" s="11" t="inlineStr">
        <is>
          <t>2026-03</t>
        </is>
      </c>
      <c r="E141" s="11" t="b">
        <v>1</v>
      </c>
      <c r="F141" s="11" t="b">
        <v>1</v>
      </c>
      <c r="G141" s="11" t="b">
        <v>1</v>
      </c>
      <c r="H141" s="11" t="b">
        <v>1</v>
      </c>
      <c r="I141" s="11" t="b">
        <v>1</v>
      </c>
      <c r="J141" s="11" t="b">
        <v>1</v>
      </c>
      <c r="K141" s="11" t="b">
        <v>0</v>
      </c>
      <c r="L141" s="11" t="b">
        <v>1</v>
      </c>
      <c r="M141" s="11" t="b">
        <v>1</v>
      </c>
      <c r="N141" s="11" t="b">
        <v>1</v>
      </c>
      <c r="O141" s="11" t="n">
        <v>24</v>
      </c>
      <c r="P141" s="11" t="n">
        <v>0</v>
      </c>
      <c r="Q141" s="11" t="n">
        <v>0</v>
      </c>
      <c r="R141" s="11" t="n"/>
      <c r="S141" s="24" t="n">
        <v>46101</v>
      </c>
      <c r="T141" s="24" t="n">
        <v>46103</v>
      </c>
      <c r="U141" s="11" t="n">
        <v>0</v>
      </c>
      <c r="V141" s="12" t="n">
        <v>0</v>
      </c>
      <c r="W141" s="11" t="n"/>
      <c r="X141" s="12" t="n"/>
      <c r="Y141" s="11" t="n"/>
      <c r="Z141" s="11" t="inlineStr">
        <is>
          <t>gbp</t>
        </is>
      </c>
    </row>
    <row r="142">
      <c r="A142" s="8" t="inlineStr">
        <is>
          <t>3b13c6b1-f518-45f1-a64d-816ed5366dea</t>
        </is>
      </c>
      <c r="B142" s="34" t="inlineStr">
        <is>
          <t>(name not on file)</t>
        </is>
      </c>
      <c r="C142" s="23" t="n">
        <v>46104</v>
      </c>
      <c r="D142" s="8" t="inlineStr">
        <is>
          <t>2026-03</t>
        </is>
      </c>
      <c r="E142" s="8" t="b">
        <v>1</v>
      </c>
      <c r="F142" s="8" t="b">
        <v>1</v>
      </c>
      <c r="G142" s="8" t="b">
        <v>1</v>
      </c>
      <c r="H142" s="8" t="b">
        <v>1</v>
      </c>
      <c r="I142" s="8" t="b">
        <v>1</v>
      </c>
      <c r="J142" s="8" t="b">
        <v>0</v>
      </c>
      <c r="K142" s="8" t="b">
        <v>1</v>
      </c>
      <c r="L142" s="8" t="b">
        <v>0</v>
      </c>
      <c r="M142" s="8" t="b">
        <v>0</v>
      </c>
      <c r="N142" s="8" t="b">
        <v>0</v>
      </c>
      <c r="O142" s="8" t="n">
        <v>0</v>
      </c>
      <c r="P142" s="8" t="n">
        <v>0</v>
      </c>
      <c r="Q142" s="8" t="n">
        <v>0</v>
      </c>
      <c r="R142" s="8" t="n"/>
      <c r="S142" s="23" t="n"/>
      <c r="T142" s="23" t="n"/>
      <c r="U142" s="8" t="n">
        <v>0</v>
      </c>
      <c r="V142" s="9" t="n">
        <v>0</v>
      </c>
      <c r="W142" s="8" t="n"/>
      <c r="X142" s="9" t="n"/>
      <c r="Y142" s="8" t="n"/>
      <c r="Z142" s="8" t="inlineStr">
        <is>
          <t>unknown</t>
        </is>
      </c>
    </row>
    <row r="143">
      <c r="A143" s="11" t="inlineStr">
        <is>
          <t>2b4434b9-1d04-4a65-a12d-32b30c006071</t>
        </is>
      </c>
      <c r="B143" s="11" t="inlineStr">
        <is>
          <t>Zoca Test</t>
        </is>
      </c>
      <c r="C143" s="24" t="n">
        <v>46104</v>
      </c>
      <c r="D143" s="11" t="inlineStr">
        <is>
          <t>2026-03</t>
        </is>
      </c>
      <c r="E143" s="11" t="b">
        <v>1</v>
      </c>
      <c r="F143" s="11" t="b">
        <v>1</v>
      </c>
      <c r="G143" s="11" t="b">
        <v>1</v>
      </c>
      <c r="H143" s="11" t="b">
        <v>1</v>
      </c>
      <c r="I143" s="11" t="b">
        <v>1</v>
      </c>
      <c r="J143" s="11" t="b">
        <v>0</v>
      </c>
      <c r="K143" s="11" t="b">
        <v>1</v>
      </c>
      <c r="L143" s="11" t="b">
        <v>1</v>
      </c>
      <c r="M143" s="11" t="b">
        <v>1</v>
      </c>
      <c r="N143" s="11" t="b">
        <v>1</v>
      </c>
      <c r="O143" s="11" t="n">
        <v>2</v>
      </c>
      <c r="P143" s="11" t="n">
        <v>1</v>
      </c>
      <c r="Q143" s="11" t="n">
        <v>0</v>
      </c>
      <c r="R143" s="11" t="n"/>
      <c r="S143" s="24" t="n">
        <v>46104</v>
      </c>
      <c r="T143" s="24" t="n">
        <v>46104</v>
      </c>
      <c r="U143" s="11" t="n">
        <v>1</v>
      </c>
      <c r="V143" s="12" t="n">
        <v>130</v>
      </c>
      <c r="W143" s="11" t="n"/>
      <c r="X143" s="12" t="n"/>
      <c r="Y143" s="11" t="n"/>
      <c r="Z143" s="11" t="inlineStr">
        <is>
          <t>gbp_logs</t>
        </is>
      </c>
    </row>
    <row r="144">
      <c r="A144" s="8" t="inlineStr">
        <is>
          <t>72cb8150-fedc-4e26-951d-55ae903fca69</t>
        </is>
      </c>
      <c r="B144" s="8" t="inlineStr">
        <is>
          <t>Simply Facials | Thousand Oaks Esthetician</t>
        </is>
      </c>
      <c r="C144" s="23" t="n">
        <v>46104</v>
      </c>
      <c r="D144" s="8" t="inlineStr">
        <is>
          <t>2026-03</t>
        </is>
      </c>
      <c r="E144" s="8" t="b">
        <v>1</v>
      </c>
      <c r="F144" s="8" t="b">
        <v>1</v>
      </c>
      <c r="G144" s="8" t="b">
        <v>1</v>
      </c>
      <c r="H144" s="8" t="b">
        <v>1</v>
      </c>
      <c r="I144" s="8" t="b">
        <v>1</v>
      </c>
      <c r="J144" s="8" t="b">
        <v>1</v>
      </c>
      <c r="K144" s="8" t="b">
        <v>0</v>
      </c>
      <c r="L144" s="8" t="b">
        <v>1</v>
      </c>
      <c r="M144" s="8" t="b">
        <v>1</v>
      </c>
      <c r="N144" s="8" t="b">
        <v>1</v>
      </c>
      <c r="O144" s="8" t="n">
        <v>893</v>
      </c>
      <c r="P144" s="8" t="n">
        <v>3</v>
      </c>
      <c r="Q144" s="8" t="n">
        <v>0</v>
      </c>
      <c r="R144" s="8" t="n"/>
      <c r="S144" s="23" t="n">
        <v>45552</v>
      </c>
      <c r="T144" s="23" t="n">
        <v>46140</v>
      </c>
      <c r="U144" s="8" t="n">
        <v>6</v>
      </c>
      <c r="V144" s="9" t="n">
        <v>187</v>
      </c>
      <c r="W144" s="8" t="inlineStr">
        <is>
          <t>16BRpkUehYZau6veC</t>
        </is>
      </c>
      <c r="X144" s="9" t="n">
        <v>199</v>
      </c>
      <c r="Y144" s="8" t="inlineStr">
        <is>
          <t>active</t>
        </is>
      </c>
      <c r="Z144" s="8" t="inlineStr">
        <is>
          <t>gbp</t>
        </is>
      </c>
    </row>
    <row r="145">
      <c r="A145" s="11" t="inlineStr">
        <is>
          <t>210f9011-6869-4601-94cd-8e2043fb9dd9</t>
        </is>
      </c>
      <c r="B145" s="11" t="inlineStr">
        <is>
          <t>ItsBrandingTime | Hair Extensions, Hair Color &amp; Hair Styling</t>
        </is>
      </c>
      <c r="C145" s="24" t="n">
        <v>46104</v>
      </c>
      <c r="D145" s="11" t="inlineStr">
        <is>
          <t>2026-03</t>
        </is>
      </c>
      <c r="E145" s="11" t="b">
        <v>1</v>
      </c>
      <c r="F145" s="11" t="b">
        <v>1</v>
      </c>
      <c r="G145" s="11" t="b">
        <v>1</v>
      </c>
      <c r="H145" s="11" t="b">
        <v>1</v>
      </c>
      <c r="I145" s="11" t="b">
        <v>1</v>
      </c>
      <c r="J145" s="11" t="b">
        <v>1</v>
      </c>
      <c r="K145" s="11" t="b">
        <v>0</v>
      </c>
      <c r="L145" s="11" t="b">
        <v>1</v>
      </c>
      <c r="M145" s="11" t="b">
        <v>1</v>
      </c>
      <c r="N145" s="11" t="b">
        <v>1</v>
      </c>
      <c r="O145" s="11" t="n">
        <v>0</v>
      </c>
      <c r="P145" s="11" t="n">
        <v>0</v>
      </c>
      <c r="Q145" s="11" t="n">
        <v>0</v>
      </c>
      <c r="R145" s="11" t="n"/>
      <c r="S145" s="24" t="n"/>
      <c r="T145" s="24" t="n"/>
      <c r="U145" s="11" t="n">
        <v>0</v>
      </c>
      <c r="V145" s="12" t="n">
        <v>0</v>
      </c>
      <c r="W145" s="11" t="n"/>
      <c r="X145" s="12" t="n"/>
      <c r="Y145" s="11" t="n"/>
      <c r="Z145" s="11" t="inlineStr">
        <is>
          <t>gbp</t>
        </is>
      </c>
    </row>
    <row r="146">
      <c r="A146" s="8" t="inlineStr">
        <is>
          <t>95a3eb53-9bfc-4e71-8d3c-248ec9539a39</t>
        </is>
      </c>
      <c r="B146" s="8" t="inlineStr">
        <is>
          <t>Saxena's spa</t>
        </is>
      </c>
      <c r="C146" s="23" t="n">
        <v>46105</v>
      </c>
      <c r="D146" s="8" t="inlineStr">
        <is>
          <t>2026-03</t>
        </is>
      </c>
      <c r="E146" s="8" t="b">
        <v>1</v>
      </c>
      <c r="F146" s="8" t="b">
        <v>1</v>
      </c>
      <c r="G146" s="8" t="b">
        <v>1</v>
      </c>
      <c r="H146" s="8" t="b">
        <v>1</v>
      </c>
      <c r="I146" s="8" t="b">
        <v>1</v>
      </c>
      <c r="J146" s="8" t="b">
        <v>0</v>
      </c>
      <c r="K146" s="8" t="b">
        <v>1</v>
      </c>
      <c r="L146" s="8" t="b">
        <v>1</v>
      </c>
      <c r="M146" s="8" t="b">
        <v>1</v>
      </c>
      <c r="N146" s="8" t="b">
        <v>1</v>
      </c>
      <c r="O146" s="8" t="n">
        <v>8</v>
      </c>
      <c r="P146" s="8" t="n">
        <v>8</v>
      </c>
      <c r="Q146" s="8" t="n">
        <v>0</v>
      </c>
      <c r="R146" s="8" t="n"/>
      <c r="S146" s="23" t="n">
        <v>46105</v>
      </c>
      <c r="T146" s="23" t="n">
        <v>46106</v>
      </c>
      <c r="U146" s="8" t="n">
        <v>0</v>
      </c>
      <c r="V146" s="9" t="n">
        <v>0</v>
      </c>
      <c r="W146" s="8" t="n"/>
      <c r="X146" s="9" t="n"/>
      <c r="Y146" s="8" t="n"/>
      <c r="Z146" s="8" t="inlineStr">
        <is>
          <t>gbp_logs</t>
        </is>
      </c>
    </row>
    <row r="147">
      <c r="A147" s="11" t="inlineStr">
        <is>
          <t>91e10745-6e57-404f-892a-ad86abea9d7b</t>
        </is>
      </c>
      <c r="B147" s="11" t="inlineStr">
        <is>
          <t>ChocoBrownie Nails</t>
        </is>
      </c>
      <c r="C147" s="24" t="n">
        <v>46105</v>
      </c>
      <c r="D147" s="11" t="inlineStr">
        <is>
          <t>2026-03</t>
        </is>
      </c>
      <c r="E147" s="11" t="b">
        <v>1</v>
      </c>
      <c r="F147" s="11" t="b">
        <v>1</v>
      </c>
      <c r="G147" s="11" t="b">
        <v>1</v>
      </c>
      <c r="H147" s="11" t="b">
        <v>1</v>
      </c>
      <c r="I147" s="11" t="b">
        <v>1</v>
      </c>
      <c r="J147" s="11" t="b">
        <v>0</v>
      </c>
      <c r="K147" s="11" t="b">
        <v>1</v>
      </c>
      <c r="L147" s="11" t="b">
        <v>1</v>
      </c>
      <c r="M147" s="11" t="b">
        <v>1</v>
      </c>
      <c r="N147" s="11" t="b">
        <v>1</v>
      </c>
      <c r="O147" s="11" t="n">
        <v>0</v>
      </c>
      <c r="P147" s="11" t="n">
        <v>0</v>
      </c>
      <c r="Q147" s="11" t="n">
        <v>0</v>
      </c>
      <c r="R147" s="11" t="n"/>
      <c r="S147" s="24" t="n"/>
      <c r="T147" s="24" t="n"/>
      <c r="U147" s="11" t="n">
        <v>0</v>
      </c>
      <c r="V147" s="12" t="n">
        <v>0</v>
      </c>
      <c r="W147" s="11" t="n"/>
      <c r="X147" s="12" t="n"/>
      <c r="Y147" s="11" t="n"/>
      <c r="Z147" s="11" t="inlineStr">
        <is>
          <t>gbp_logs</t>
        </is>
      </c>
    </row>
    <row r="148">
      <c r="A148" s="8" t="inlineStr">
        <is>
          <t>19e48d70-804e-4736-a855-0d998216db92</t>
        </is>
      </c>
      <c r="B148" s="8" t="inlineStr">
        <is>
          <t>Alice African Braids and Locs</t>
        </is>
      </c>
      <c r="C148" s="23" t="n">
        <v>46105</v>
      </c>
      <c r="D148" s="8" t="inlineStr">
        <is>
          <t>2026-03</t>
        </is>
      </c>
      <c r="E148" s="8" t="b">
        <v>1</v>
      </c>
      <c r="F148" s="8" t="b">
        <v>1</v>
      </c>
      <c r="G148" s="8" t="b">
        <v>1</v>
      </c>
      <c r="H148" s="8" t="b">
        <v>1</v>
      </c>
      <c r="I148" s="8" t="b">
        <v>1</v>
      </c>
      <c r="J148" s="8" t="b">
        <v>0</v>
      </c>
      <c r="K148" s="8" t="b">
        <v>1</v>
      </c>
      <c r="L148" s="8" t="b">
        <v>1</v>
      </c>
      <c r="M148" s="8" t="b">
        <v>1</v>
      </c>
      <c r="N148" s="8" t="b">
        <v>1</v>
      </c>
      <c r="O148" s="8" t="n">
        <v>117</v>
      </c>
      <c r="P148" s="8" t="n">
        <v>115</v>
      </c>
      <c r="Q148" s="8" t="n">
        <v>0</v>
      </c>
      <c r="R148" s="8" t="n"/>
      <c r="S148" s="23" t="n">
        <v>46109</v>
      </c>
      <c r="T148" s="23" t="n">
        <v>46236</v>
      </c>
      <c r="U148" s="8" t="n">
        <v>2</v>
      </c>
      <c r="V148" s="9" t="n">
        <v>117.5</v>
      </c>
      <c r="W148" s="8" t="inlineStr">
        <is>
          <t>cus_UB42IaUsjzv9OA</t>
        </is>
      </c>
      <c r="X148" s="9" t="n">
        <v>150</v>
      </c>
      <c r="Y148" s="8" t="inlineStr">
        <is>
          <t>active</t>
        </is>
      </c>
      <c r="Z148" s="8" t="inlineStr">
        <is>
          <t>gbp</t>
        </is>
      </c>
    </row>
    <row r="149">
      <c r="A149" s="11" t="inlineStr">
        <is>
          <t>5a61cdee-dfe1-4575-8b14-0be33b755b48</t>
        </is>
      </c>
      <c r="B149" s="11" t="inlineStr">
        <is>
          <t>Annie's African Braiding</t>
        </is>
      </c>
      <c r="C149" s="24" t="n">
        <v>46105</v>
      </c>
      <c r="D149" s="11" t="inlineStr">
        <is>
          <t>2026-03</t>
        </is>
      </c>
      <c r="E149" s="11" t="b">
        <v>1</v>
      </c>
      <c r="F149" s="11" t="b">
        <v>1</v>
      </c>
      <c r="G149" s="11" t="b">
        <v>1</v>
      </c>
      <c r="H149" s="11" t="b">
        <v>1</v>
      </c>
      <c r="I149" s="11" t="b">
        <v>1</v>
      </c>
      <c r="J149" s="11" t="b">
        <v>1</v>
      </c>
      <c r="K149" s="11" t="b">
        <v>0</v>
      </c>
      <c r="L149" s="11" t="b">
        <v>1</v>
      </c>
      <c r="M149" s="11" t="b">
        <v>1</v>
      </c>
      <c r="N149" s="11" t="b">
        <v>1</v>
      </c>
      <c r="O149" s="11" t="n">
        <v>250</v>
      </c>
      <c r="P149" s="11" t="n">
        <v>8</v>
      </c>
      <c r="Q149" s="11" t="n">
        <v>0</v>
      </c>
      <c r="R149" s="11" t="n"/>
      <c r="S149" s="24" t="n">
        <v>45258</v>
      </c>
      <c r="T149" s="24" t="n">
        <v>46188</v>
      </c>
      <c r="U149" s="11" t="n">
        <v>2</v>
      </c>
      <c r="V149" s="12" t="n">
        <v>110</v>
      </c>
      <c r="W149" s="11" t="inlineStr">
        <is>
          <t>cus_OpdwyOMVmP2qrN</t>
        </is>
      </c>
      <c r="X149" s="12" t="n"/>
      <c r="Y149" s="11" t="inlineStr">
        <is>
          <t>cancelled</t>
        </is>
      </c>
      <c r="Z149" s="11" t="inlineStr">
        <is>
          <t>gbp</t>
        </is>
      </c>
    </row>
    <row r="150">
      <c r="A150" s="8" t="inlineStr">
        <is>
          <t>49d7400a-b815-425d-bf46-f90b57067ba2</t>
        </is>
      </c>
      <c r="B150" s="8" t="inlineStr">
        <is>
          <t>Giorgio Hair Salon LLC</t>
        </is>
      </c>
      <c r="C150" s="23" t="n">
        <v>46105</v>
      </c>
      <c r="D150" s="8" t="inlineStr">
        <is>
          <t>2026-03</t>
        </is>
      </c>
      <c r="E150" s="8" t="b">
        <v>1</v>
      </c>
      <c r="F150" s="8" t="b">
        <v>1</v>
      </c>
      <c r="G150" s="8" t="b">
        <v>1</v>
      </c>
      <c r="H150" s="8" t="b">
        <v>1</v>
      </c>
      <c r="I150" s="8" t="b">
        <v>1</v>
      </c>
      <c r="J150" s="8" t="b">
        <v>0</v>
      </c>
      <c r="K150" s="8" t="b">
        <v>1</v>
      </c>
      <c r="L150" s="8" t="b">
        <v>1</v>
      </c>
      <c r="M150" s="8" t="b">
        <v>1</v>
      </c>
      <c r="N150" s="8" t="b">
        <v>1</v>
      </c>
      <c r="O150" s="8" t="n">
        <v>128</v>
      </c>
      <c r="P150" s="8" t="n">
        <v>6</v>
      </c>
      <c r="Q150" s="8" t="n">
        <v>0</v>
      </c>
      <c r="R150" s="8" t="n"/>
      <c r="S150" s="23" t="n">
        <v>45206</v>
      </c>
      <c r="T150" s="23" t="n">
        <v>46210</v>
      </c>
      <c r="U150" s="8" t="n">
        <v>0</v>
      </c>
      <c r="V150" s="9" t="n">
        <v>0</v>
      </c>
      <c r="W150" s="8" t="inlineStr">
        <is>
          <t>cus_PdqKmBxkmOKSUQ</t>
        </is>
      </c>
      <c r="X150" s="9" t="n">
        <v>100</v>
      </c>
      <c r="Y150" s="8" t="inlineStr">
        <is>
          <t>active</t>
        </is>
      </c>
      <c r="Z150" s="8" t="inlineStr">
        <is>
          <t>gbp</t>
        </is>
      </c>
    </row>
    <row r="151">
      <c r="A151" s="11" t="inlineStr">
        <is>
          <t>0afa7e2a-ce80-46ae-9563-b32d60f384ff</t>
        </is>
      </c>
      <c r="B151" s="33" t="inlineStr">
        <is>
          <t>(name not on file)</t>
        </is>
      </c>
      <c r="C151" s="24" t="n">
        <v>46106</v>
      </c>
      <c r="D151" s="11" t="inlineStr">
        <is>
          <t>2026-03</t>
        </is>
      </c>
      <c r="E151" s="11" t="b">
        <v>1</v>
      </c>
      <c r="F151" s="11" t="b">
        <v>1</v>
      </c>
      <c r="G151" s="11" t="b">
        <v>1</v>
      </c>
      <c r="H151" s="11" t="b">
        <v>1</v>
      </c>
      <c r="I151" s="11" t="b">
        <v>1</v>
      </c>
      <c r="J151" s="11" t="b">
        <v>0</v>
      </c>
      <c r="K151" s="11" t="b">
        <v>1</v>
      </c>
      <c r="L151" s="11" t="b">
        <v>1</v>
      </c>
      <c r="M151" s="11" t="b">
        <v>1</v>
      </c>
      <c r="N151" s="11" t="b">
        <v>1</v>
      </c>
      <c r="O151" s="11" t="n">
        <v>7</v>
      </c>
      <c r="P151" s="11" t="n">
        <v>6</v>
      </c>
      <c r="Q151" s="11" t="n">
        <v>0</v>
      </c>
      <c r="R151" s="11" t="n"/>
      <c r="S151" s="24" t="n">
        <v>46106</v>
      </c>
      <c r="T151" s="24" t="n">
        <v>46107</v>
      </c>
      <c r="U151" s="11" t="n">
        <v>2</v>
      </c>
      <c r="V151" s="12" t="n">
        <v>15</v>
      </c>
      <c r="W151" s="11" t="n"/>
      <c r="X151" s="12" t="n"/>
      <c r="Y151" s="11" t="n"/>
      <c r="Z151" s="11" t="inlineStr">
        <is>
          <t>unknown</t>
        </is>
      </c>
    </row>
    <row r="152">
      <c r="A152" s="8" t="inlineStr">
        <is>
          <t>ebdb67a1-4e22-434c-ae13-d1531ebc40f3</t>
        </is>
      </c>
      <c r="B152" s="8" t="inlineStr">
        <is>
          <t>Saxena Consultancy</t>
        </is>
      </c>
      <c r="C152" s="23" t="n">
        <v>46107</v>
      </c>
      <c r="D152" s="8" t="inlineStr">
        <is>
          <t>2026-03</t>
        </is>
      </c>
      <c r="E152" s="8" t="b">
        <v>1</v>
      </c>
      <c r="F152" s="8" t="b">
        <v>1</v>
      </c>
      <c r="G152" s="8" t="b">
        <v>1</v>
      </c>
      <c r="H152" s="8" t="b">
        <v>1</v>
      </c>
      <c r="I152" s="8" t="b">
        <v>1</v>
      </c>
      <c r="J152" s="8" t="b">
        <v>0</v>
      </c>
      <c r="K152" s="8" t="b">
        <v>1</v>
      </c>
      <c r="L152" s="8" t="b">
        <v>1</v>
      </c>
      <c r="M152" s="8" t="b">
        <v>1</v>
      </c>
      <c r="N152" s="8" t="b">
        <v>1</v>
      </c>
      <c r="O152" s="8" t="n">
        <v>10</v>
      </c>
      <c r="P152" s="8" t="n">
        <v>10</v>
      </c>
      <c r="Q152" s="8" t="n">
        <v>0</v>
      </c>
      <c r="R152" s="8" t="n"/>
      <c r="S152" s="23" t="n">
        <v>46107</v>
      </c>
      <c r="T152" s="23" t="n">
        <v>46113</v>
      </c>
      <c r="U152" s="8" t="n">
        <v>0</v>
      </c>
      <c r="V152" s="9" t="n">
        <v>0</v>
      </c>
      <c r="W152" s="8" t="n"/>
      <c r="X152" s="9" t="n"/>
      <c r="Y152" s="8" t="n"/>
      <c r="Z152" s="8" t="inlineStr">
        <is>
          <t>gbp_logs</t>
        </is>
      </c>
    </row>
    <row r="153">
      <c r="A153" s="11" t="inlineStr">
        <is>
          <t>80ebf934-79c4-4782-a662-7ea8ed849e00</t>
        </is>
      </c>
      <c r="B153" s="11" t="inlineStr">
        <is>
          <t>Saxena's spa</t>
        </is>
      </c>
      <c r="C153" s="24" t="n">
        <v>46108</v>
      </c>
      <c r="D153" s="11" t="inlineStr">
        <is>
          <t>2026-03</t>
        </is>
      </c>
      <c r="E153" s="11" t="b">
        <v>1</v>
      </c>
      <c r="F153" s="11" t="b">
        <v>1</v>
      </c>
      <c r="G153" s="11" t="b">
        <v>1</v>
      </c>
      <c r="H153" s="11" t="b">
        <v>1</v>
      </c>
      <c r="I153" s="11" t="b">
        <v>1</v>
      </c>
      <c r="J153" s="11" t="b">
        <v>0</v>
      </c>
      <c r="K153" s="11" t="b">
        <v>1</v>
      </c>
      <c r="L153" s="11" t="b">
        <v>1</v>
      </c>
      <c r="M153" s="11" t="b">
        <v>1</v>
      </c>
      <c r="N153" s="11" t="b">
        <v>1</v>
      </c>
      <c r="O153" s="11" t="n">
        <v>2</v>
      </c>
      <c r="P153" s="11" t="n">
        <v>1</v>
      </c>
      <c r="Q153" s="11" t="n">
        <v>0</v>
      </c>
      <c r="R153" s="11" t="n"/>
      <c r="S153" s="24" t="n">
        <v>46108</v>
      </c>
      <c r="T153" s="24" t="n">
        <v>46108</v>
      </c>
      <c r="U153" s="11" t="n">
        <v>2</v>
      </c>
      <c r="V153" s="12" t="n">
        <v>445</v>
      </c>
      <c r="W153" s="11" t="n"/>
      <c r="X153" s="12" t="n"/>
      <c r="Y153" s="11" t="n"/>
      <c r="Z153" s="11" t="inlineStr">
        <is>
          <t>gbp_logs</t>
        </is>
      </c>
    </row>
    <row r="154">
      <c r="A154" s="8" t="inlineStr">
        <is>
          <t>0cf85994-8dd6-4c2a-a5bd-71dbc356fd52</t>
        </is>
      </c>
      <c r="B154" s="8" t="inlineStr">
        <is>
          <t>Natasha super spa</t>
        </is>
      </c>
      <c r="C154" s="23" t="n">
        <v>46111</v>
      </c>
      <c r="D154" s="8" t="inlineStr">
        <is>
          <t>2026-03</t>
        </is>
      </c>
      <c r="E154" s="8" t="b">
        <v>1</v>
      </c>
      <c r="F154" s="8" t="b">
        <v>1</v>
      </c>
      <c r="G154" s="8" t="b">
        <v>1</v>
      </c>
      <c r="H154" s="8" t="b">
        <v>1</v>
      </c>
      <c r="I154" s="8" t="b">
        <v>1</v>
      </c>
      <c r="J154" s="8" t="b">
        <v>0</v>
      </c>
      <c r="K154" s="8" t="b">
        <v>1</v>
      </c>
      <c r="L154" s="8" t="b">
        <v>1</v>
      </c>
      <c r="M154" s="8" t="b">
        <v>1</v>
      </c>
      <c r="N154" s="8" t="b">
        <v>1</v>
      </c>
      <c r="O154" s="8" t="n">
        <v>9</v>
      </c>
      <c r="P154" s="8" t="n">
        <v>7</v>
      </c>
      <c r="Q154" s="8" t="n">
        <v>0</v>
      </c>
      <c r="R154" s="8" t="n"/>
      <c r="S154" s="23" t="n">
        <v>46111</v>
      </c>
      <c r="T154" s="23" t="n">
        <v>46112</v>
      </c>
      <c r="U154" s="8" t="n">
        <v>3</v>
      </c>
      <c r="V154" s="9" t="n">
        <v>62</v>
      </c>
      <c r="W154" s="8" t="n"/>
      <c r="X154" s="9" t="n"/>
      <c r="Y154" s="8" t="n"/>
      <c r="Z154" s="8" t="inlineStr">
        <is>
          <t>gbp</t>
        </is>
      </c>
    </row>
    <row r="155">
      <c r="A155" s="11" t="inlineStr">
        <is>
          <t>08d1c8c7-e95d-4c4c-8b67-b9628c862b9d</t>
        </is>
      </c>
      <c r="B155" s="11" t="inlineStr">
        <is>
          <t>Bijuu House of Stylists | braiding</t>
        </is>
      </c>
      <c r="C155" s="24" t="n">
        <v>46111</v>
      </c>
      <c r="D155" s="11" t="inlineStr">
        <is>
          <t>2026-03</t>
        </is>
      </c>
      <c r="E155" s="11" t="b">
        <v>0</v>
      </c>
      <c r="F155" s="11" t="b">
        <v>1</v>
      </c>
      <c r="G155" s="11" t="b">
        <v>1</v>
      </c>
      <c r="H155" s="11" t="b">
        <v>1</v>
      </c>
      <c r="I155" s="11" t="b">
        <v>1</v>
      </c>
      <c r="J155" s="11" t="b">
        <v>1</v>
      </c>
      <c r="K155" s="11" t="b">
        <v>0</v>
      </c>
      <c r="L155" s="11" t="b">
        <v>0</v>
      </c>
      <c r="M155" s="11" t="b">
        <v>0</v>
      </c>
      <c r="N155" s="11" t="b">
        <v>1</v>
      </c>
      <c r="O155" s="11" t="n">
        <v>10</v>
      </c>
      <c r="P155" s="11" t="n">
        <v>10</v>
      </c>
      <c r="Q155" s="11" t="n">
        <v>0</v>
      </c>
      <c r="R155" s="11" t="n"/>
      <c r="S155" s="24" t="n">
        <v>46136</v>
      </c>
      <c r="T155" s="24" t="n">
        <v>46203</v>
      </c>
      <c r="U155" s="11" t="n">
        <v>1</v>
      </c>
      <c r="V155" s="12" t="n">
        <v>135</v>
      </c>
      <c r="W155" s="11" t="inlineStr">
        <is>
          <t>AzqaJoV3s9t735Id3</t>
        </is>
      </c>
      <c r="X155" s="12" t="n"/>
      <c r="Y155" s="11" t="inlineStr">
        <is>
          <t>cancelled</t>
        </is>
      </c>
      <c r="Z155" s="11" t="inlineStr">
        <is>
          <t>gbp</t>
        </is>
      </c>
    </row>
    <row r="156">
      <c r="A156" s="8" t="inlineStr">
        <is>
          <t>cab6d126-5fc6-4ca3-8479-3a8cafc016c7</t>
        </is>
      </c>
      <c r="B156" s="8" t="inlineStr">
        <is>
          <t>Hanya Beauty Salon</t>
        </is>
      </c>
      <c r="C156" s="23" t="n">
        <v>46111</v>
      </c>
      <c r="D156" s="8" t="inlineStr">
        <is>
          <t>2026-03</t>
        </is>
      </c>
      <c r="E156" s="8" t="b">
        <v>1</v>
      </c>
      <c r="F156" s="8" t="b">
        <v>1</v>
      </c>
      <c r="G156" s="8" t="b">
        <v>1</v>
      </c>
      <c r="H156" s="8" t="b">
        <v>1</v>
      </c>
      <c r="I156" s="8" t="b">
        <v>1</v>
      </c>
      <c r="J156" s="8" t="b">
        <v>0</v>
      </c>
      <c r="K156" s="8" t="b">
        <v>1</v>
      </c>
      <c r="L156" s="8" t="b">
        <v>1</v>
      </c>
      <c r="M156" s="8" t="b">
        <v>1</v>
      </c>
      <c r="N156" s="8" t="b">
        <v>1</v>
      </c>
      <c r="O156" s="8" t="n">
        <v>5</v>
      </c>
      <c r="P156" s="8" t="n">
        <v>3</v>
      </c>
      <c r="Q156" s="8" t="n">
        <v>0</v>
      </c>
      <c r="R156" s="8" t="n"/>
      <c r="S156" s="23" t="n">
        <v>46115</v>
      </c>
      <c r="T156" s="23" t="n">
        <v>46173</v>
      </c>
      <c r="U156" s="8" t="n">
        <v>0</v>
      </c>
      <c r="V156" s="9" t="n">
        <v>0</v>
      </c>
      <c r="W156" s="8" t="inlineStr">
        <is>
          <t>AzZmsKVEim61l5Ky</t>
        </is>
      </c>
      <c r="X156" s="9" t="n"/>
      <c r="Y156" s="8" t="inlineStr">
        <is>
          <t>cancelled</t>
        </is>
      </c>
      <c r="Z156" s="8" t="inlineStr">
        <is>
          <t>gbp</t>
        </is>
      </c>
    </row>
    <row r="157">
      <c r="A157" s="11" t="inlineStr">
        <is>
          <t>5cbc3251-3e52-43cf-998c-1477406b47d9</t>
        </is>
      </c>
      <c r="B157" s="11" t="inlineStr">
        <is>
          <t>All About-Extensions&amp;LocsLLC</t>
        </is>
      </c>
      <c r="C157" s="24" t="n">
        <v>46112</v>
      </c>
      <c r="D157" s="11" t="inlineStr">
        <is>
          <t>2026-03</t>
        </is>
      </c>
      <c r="E157" s="11" t="b">
        <v>1</v>
      </c>
      <c r="F157" s="11" t="b">
        <v>1</v>
      </c>
      <c r="G157" s="11" t="b">
        <v>1</v>
      </c>
      <c r="H157" s="11" t="b">
        <v>1</v>
      </c>
      <c r="I157" s="11" t="b">
        <v>1</v>
      </c>
      <c r="J157" s="11" t="b">
        <v>1</v>
      </c>
      <c r="K157" s="11" t="b">
        <v>0</v>
      </c>
      <c r="L157" s="11" t="b">
        <v>1</v>
      </c>
      <c r="M157" s="11" t="b">
        <v>1</v>
      </c>
      <c r="N157" s="11" t="b">
        <v>1</v>
      </c>
      <c r="O157" s="11" t="n">
        <v>2</v>
      </c>
      <c r="P157" s="11" t="n">
        <v>2</v>
      </c>
      <c r="Q157" s="11" t="n">
        <v>0</v>
      </c>
      <c r="R157" s="11" t="n"/>
      <c r="S157" s="24" t="n">
        <v>46137</v>
      </c>
      <c r="T157" s="24" t="n">
        <v>46184</v>
      </c>
      <c r="U157" s="11" t="n">
        <v>1</v>
      </c>
      <c r="V157" s="12" t="n">
        <v>60</v>
      </c>
      <c r="W157" s="11" t="inlineStr">
        <is>
          <t>AzhqEzV0YiTbpBg5</t>
        </is>
      </c>
      <c r="X157" s="12" t="n">
        <v>150</v>
      </c>
      <c r="Y157" s="11" t="inlineStr">
        <is>
          <t>active</t>
        </is>
      </c>
      <c r="Z157" s="11" t="inlineStr">
        <is>
          <t>gbp</t>
        </is>
      </c>
    </row>
    <row r="158">
      <c r="A158" s="8" t="inlineStr">
        <is>
          <t>c731a2f0-8992-4015-ae9e-73a6598b3703</t>
        </is>
      </c>
      <c r="B158" s="8" t="inlineStr">
        <is>
          <t>Envious Appeal LLC</t>
        </is>
      </c>
      <c r="C158" s="23" t="n">
        <v>46112</v>
      </c>
      <c r="D158" s="8" t="inlineStr">
        <is>
          <t>2026-03</t>
        </is>
      </c>
      <c r="E158" s="8" t="b">
        <v>1</v>
      </c>
      <c r="F158" s="8" t="b">
        <v>1</v>
      </c>
      <c r="G158" s="8" t="b">
        <v>1</v>
      </c>
      <c r="H158" s="8" t="b">
        <v>1</v>
      </c>
      <c r="I158" s="8" t="b">
        <v>1</v>
      </c>
      <c r="J158" s="8" t="b">
        <v>0</v>
      </c>
      <c r="K158" s="8" t="b">
        <v>1</v>
      </c>
      <c r="L158" s="8" t="b">
        <v>1</v>
      </c>
      <c r="M158" s="8" t="b">
        <v>1</v>
      </c>
      <c r="N158" s="8" t="b">
        <v>1</v>
      </c>
      <c r="O158" s="8" t="n">
        <v>13</v>
      </c>
      <c r="P158" s="8" t="n">
        <v>13</v>
      </c>
      <c r="Q158" s="8" t="n">
        <v>0</v>
      </c>
      <c r="R158" s="8" t="n"/>
      <c r="S158" s="23" t="n">
        <v>46151</v>
      </c>
      <c r="T158" s="23" t="n">
        <v>46227</v>
      </c>
      <c r="U158" s="8" t="n">
        <v>0</v>
      </c>
      <c r="V158" s="9" t="n">
        <v>0</v>
      </c>
      <c r="W158" s="8" t="inlineStr">
        <is>
          <t>169wVhUuWV43u2DRJ</t>
        </is>
      </c>
      <c r="X158" s="9" t="n">
        <v>199</v>
      </c>
      <c r="Y158" s="8" t="inlineStr">
        <is>
          <t>active</t>
        </is>
      </c>
      <c r="Z158" s="8" t="inlineStr">
        <is>
          <t>gbp</t>
        </is>
      </c>
    </row>
    <row r="159">
      <c r="A159" s="11" t="inlineStr">
        <is>
          <t>f02344c5-30c3-4b14-80b4-5bf2450e8d0f</t>
        </is>
      </c>
      <c r="B159" s="11" t="inlineStr">
        <is>
          <t>Alia Bhat Makeup</t>
        </is>
      </c>
      <c r="C159" s="24" t="n">
        <v>46113</v>
      </c>
      <c r="D159" s="11" t="inlineStr">
        <is>
          <t>2026-04</t>
        </is>
      </c>
      <c r="E159" s="11" t="b">
        <v>1</v>
      </c>
      <c r="F159" s="11" t="b">
        <v>1</v>
      </c>
      <c r="G159" s="11" t="b">
        <v>1</v>
      </c>
      <c r="H159" s="11" t="b">
        <v>1</v>
      </c>
      <c r="I159" s="11" t="b">
        <v>1</v>
      </c>
      <c r="J159" s="11" t="b">
        <v>0</v>
      </c>
      <c r="K159" s="11" t="b">
        <v>1</v>
      </c>
      <c r="L159" s="11" t="b">
        <v>1</v>
      </c>
      <c r="M159" s="11" t="b">
        <v>1</v>
      </c>
      <c r="N159" s="11" t="b">
        <v>1</v>
      </c>
      <c r="O159" s="11" t="n">
        <v>4</v>
      </c>
      <c r="P159" s="11" t="n">
        <v>1</v>
      </c>
      <c r="Q159" s="11" t="n">
        <v>0</v>
      </c>
      <c r="R159" s="11" t="n"/>
      <c r="S159" s="24" t="n">
        <v>46113</v>
      </c>
      <c r="T159" s="24" t="n">
        <v>46113</v>
      </c>
      <c r="U159" s="11" t="n">
        <v>2</v>
      </c>
      <c r="V159" s="12" t="n">
        <v>117</v>
      </c>
      <c r="W159" s="11" t="n"/>
      <c r="X159" s="12" t="n"/>
      <c r="Y159" s="11" t="n"/>
      <c r="Z159" s="11" t="inlineStr">
        <is>
          <t>gbp_logs</t>
        </is>
      </c>
    </row>
    <row r="160">
      <c r="A160" s="8" t="inlineStr">
        <is>
          <t>48437d71-194e-4c55-b1b7-583302023e62</t>
        </is>
      </c>
      <c r="B160" s="8" t="inlineStr">
        <is>
          <t>Leena's Laser Center</t>
        </is>
      </c>
      <c r="C160" s="23" t="n">
        <v>46113</v>
      </c>
      <c r="D160" s="8" t="inlineStr">
        <is>
          <t>2026-04</t>
        </is>
      </c>
      <c r="E160" s="8" t="b">
        <v>1</v>
      </c>
      <c r="F160" s="8" t="b">
        <v>1</v>
      </c>
      <c r="G160" s="8" t="b">
        <v>1</v>
      </c>
      <c r="H160" s="8" t="b">
        <v>1</v>
      </c>
      <c r="I160" s="8" t="b">
        <v>1</v>
      </c>
      <c r="J160" s="8" t="b">
        <v>0</v>
      </c>
      <c r="K160" s="8" t="b">
        <v>1</v>
      </c>
      <c r="L160" s="8" t="b">
        <v>1</v>
      </c>
      <c r="M160" s="8" t="b">
        <v>1</v>
      </c>
      <c r="N160" s="8" t="b">
        <v>1</v>
      </c>
      <c r="O160" s="8" t="n">
        <v>531</v>
      </c>
      <c r="P160" s="8" t="n">
        <v>80</v>
      </c>
      <c r="Q160" s="8" t="n">
        <v>0</v>
      </c>
      <c r="R160" s="8" t="n"/>
      <c r="S160" s="23" t="n">
        <v>46113</v>
      </c>
      <c r="T160" s="23" t="n">
        <v>46236</v>
      </c>
      <c r="U160" s="8" t="n">
        <v>0</v>
      </c>
      <c r="V160" s="9" t="n">
        <v>0</v>
      </c>
      <c r="W160" s="8" t="inlineStr">
        <is>
          <t>cus_Ty1RXXKr0uLIVE</t>
        </is>
      </c>
      <c r="X160" s="9" t="n">
        <v>200</v>
      </c>
      <c r="Y160" s="8" t="inlineStr">
        <is>
          <t>active</t>
        </is>
      </c>
      <c r="Z160" s="8" t="inlineStr">
        <is>
          <t>gbp</t>
        </is>
      </c>
    </row>
    <row r="161">
      <c r="A161" s="11" t="inlineStr">
        <is>
          <t>ed830096-f6f5-462e-ad06-c84c8dd5217f</t>
        </is>
      </c>
      <c r="B161" s="11" t="inlineStr">
        <is>
          <t>Roma Health And Beauty Laser Center</t>
        </is>
      </c>
      <c r="C161" s="24" t="n">
        <v>46113</v>
      </c>
      <c r="D161" s="11" t="inlineStr">
        <is>
          <t>2026-04</t>
        </is>
      </c>
      <c r="E161" s="11" t="b">
        <v>1</v>
      </c>
      <c r="F161" s="11" t="b">
        <v>1</v>
      </c>
      <c r="G161" s="11" t="b">
        <v>1</v>
      </c>
      <c r="H161" s="11" t="b">
        <v>1</v>
      </c>
      <c r="I161" s="11" t="b">
        <v>1</v>
      </c>
      <c r="J161" s="11" t="b">
        <v>1</v>
      </c>
      <c r="K161" s="11" t="b">
        <v>0</v>
      </c>
      <c r="L161" s="11" t="b">
        <v>1</v>
      </c>
      <c r="M161" s="11" t="b">
        <v>1</v>
      </c>
      <c r="N161" s="11" t="b">
        <v>1</v>
      </c>
      <c r="O161" s="11" t="n">
        <v>2</v>
      </c>
      <c r="P161" s="11" t="n">
        <v>2</v>
      </c>
      <c r="Q161" s="11" t="n">
        <v>0</v>
      </c>
      <c r="R161" s="11" t="n"/>
      <c r="S161" s="24" t="n">
        <v>46150</v>
      </c>
      <c r="T161" s="24" t="n">
        <v>46175</v>
      </c>
      <c r="U161" s="11" t="n">
        <v>1</v>
      </c>
      <c r="V161" s="12" t="n">
        <v>19</v>
      </c>
      <c r="W161" s="11" t="inlineStr">
        <is>
          <t>AzqPkeVEuT0YP2mz</t>
        </is>
      </c>
      <c r="X161" s="12" t="n"/>
      <c r="Y161" s="11" t="inlineStr">
        <is>
          <t>cancelled</t>
        </is>
      </c>
      <c r="Z161" s="11" t="inlineStr">
        <is>
          <t>gbp</t>
        </is>
      </c>
    </row>
    <row r="162">
      <c r="A162" s="8" t="inlineStr">
        <is>
          <t>d6a83e99-61d7-4259-abf2-cf9c75aa5dfa</t>
        </is>
      </c>
      <c r="B162" s="8" t="inlineStr">
        <is>
          <t>Derma Aesthetics Spa</t>
        </is>
      </c>
      <c r="C162" s="23" t="n">
        <v>46113</v>
      </c>
      <c r="D162" s="8" t="inlineStr">
        <is>
          <t>2026-04</t>
        </is>
      </c>
      <c r="E162" s="8" t="b">
        <v>1</v>
      </c>
      <c r="F162" s="8" t="b">
        <v>1</v>
      </c>
      <c r="G162" s="8" t="b">
        <v>1</v>
      </c>
      <c r="H162" s="8" t="b">
        <v>1</v>
      </c>
      <c r="I162" s="8" t="b">
        <v>1</v>
      </c>
      <c r="J162" s="8" t="b">
        <v>0</v>
      </c>
      <c r="K162" s="8" t="b">
        <v>1</v>
      </c>
      <c r="L162" s="8" t="b">
        <v>1</v>
      </c>
      <c r="M162" s="8" t="b">
        <v>1</v>
      </c>
      <c r="N162" s="8" t="b">
        <v>1</v>
      </c>
      <c r="O162" s="8" t="n">
        <v>45</v>
      </c>
      <c r="P162" s="8" t="n">
        <v>8</v>
      </c>
      <c r="Q162" s="8" t="n">
        <v>0</v>
      </c>
      <c r="R162" s="8" t="n"/>
      <c r="S162" s="23" t="n">
        <v>46118</v>
      </c>
      <c r="T162" s="23" t="n">
        <v>46233</v>
      </c>
      <c r="U162" s="8" t="n">
        <v>1</v>
      </c>
      <c r="V162" s="9" t="n">
        <v>150</v>
      </c>
      <c r="W162" s="8" t="inlineStr">
        <is>
          <t>16AtpJV0O0YzjFyg</t>
        </is>
      </c>
      <c r="X162" s="9" t="n">
        <v>199</v>
      </c>
      <c r="Y162" s="8" t="inlineStr">
        <is>
          <t>active</t>
        </is>
      </c>
      <c r="Z162" s="8" t="inlineStr">
        <is>
          <t>gbp</t>
        </is>
      </c>
    </row>
    <row r="163">
      <c r="A163" s="11" t="inlineStr">
        <is>
          <t>b8383427-8046-4925-9161-ec8be5d972e4</t>
        </is>
      </c>
      <c r="B163" s="11" t="inlineStr">
        <is>
          <t>Its saxena company</t>
        </is>
      </c>
      <c r="C163" s="24" t="n">
        <v>46114</v>
      </c>
      <c r="D163" s="11" t="inlineStr">
        <is>
          <t>2026-04</t>
        </is>
      </c>
      <c r="E163" s="11" t="b">
        <v>1</v>
      </c>
      <c r="F163" s="11" t="b">
        <v>1</v>
      </c>
      <c r="G163" s="11" t="b">
        <v>1</v>
      </c>
      <c r="H163" s="11" t="b">
        <v>1</v>
      </c>
      <c r="I163" s="11" t="b">
        <v>1</v>
      </c>
      <c r="J163" s="11" t="b">
        <v>0</v>
      </c>
      <c r="K163" s="11" t="b">
        <v>1</v>
      </c>
      <c r="L163" s="11" t="b">
        <v>1</v>
      </c>
      <c r="M163" s="11" t="b">
        <v>1</v>
      </c>
      <c r="N163" s="11" t="b">
        <v>1</v>
      </c>
      <c r="O163" s="11" t="n">
        <v>7</v>
      </c>
      <c r="P163" s="11" t="n">
        <v>5</v>
      </c>
      <c r="Q163" s="11" t="n">
        <v>0</v>
      </c>
      <c r="R163" s="11" t="n"/>
      <c r="S163" s="24" t="n">
        <v>46114</v>
      </c>
      <c r="T163" s="24" t="n">
        <v>46114</v>
      </c>
      <c r="U163" s="11" t="n">
        <v>0</v>
      </c>
      <c r="V163" s="12" t="n">
        <v>0</v>
      </c>
      <c r="W163" s="11" t="n"/>
      <c r="X163" s="12" t="n"/>
      <c r="Y163" s="11" t="n"/>
      <c r="Z163" s="11" t="inlineStr">
        <is>
          <t>gbp_logs</t>
        </is>
      </c>
    </row>
    <row r="164">
      <c r="A164" s="8" t="inlineStr">
        <is>
          <t>ac0d7f4d-d287-4e03-9ac2-4d066da54253</t>
        </is>
      </c>
      <c r="B164" s="8" t="inlineStr">
        <is>
          <t>Natasha real estate sales</t>
        </is>
      </c>
      <c r="C164" s="23" t="n">
        <v>46114</v>
      </c>
      <c r="D164" s="8" t="inlineStr">
        <is>
          <t>2026-04</t>
        </is>
      </c>
      <c r="E164" s="8" t="b">
        <v>1</v>
      </c>
      <c r="F164" s="8" t="b">
        <v>1</v>
      </c>
      <c r="G164" s="8" t="b">
        <v>1</v>
      </c>
      <c r="H164" s="8" t="b">
        <v>1</v>
      </c>
      <c r="I164" s="8" t="b">
        <v>1</v>
      </c>
      <c r="J164" s="8" t="b">
        <v>0</v>
      </c>
      <c r="K164" s="8" t="b">
        <v>1</v>
      </c>
      <c r="L164" s="8" t="b">
        <v>1</v>
      </c>
      <c r="M164" s="8" t="b">
        <v>1</v>
      </c>
      <c r="N164" s="8" t="b">
        <v>1</v>
      </c>
      <c r="O164" s="8" t="n">
        <v>32</v>
      </c>
      <c r="P164" s="8" t="n">
        <v>10</v>
      </c>
      <c r="Q164" s="8" t="n">
        <v>0</v>
      </c>
      <c r="R164" s="8" t="n"/>
      <c r="S164" s="23" t="n">
        <v>46114</v>
      </c>
      <c r="T164" s="23" t="n">
        <v>46217</v>
      </c>
      <c r="U164" s="8" t="n">
        <v>19</v>
      </c>
      <c r="V164" s="9" t="n">
        <v>2542.25</v>
      </c>
      <c r="W164" s="8" t="n"/>
      <c r="X164" s="9" t="n"/>
      <c r="Y164" s="8" t="n"/>
      <c r="Z164" s="8" t="inlineStr">
        <is>
          <t>gbp</t>
        </is>
      </c>
    </row>
    <row r="165">
      <c r="A165" s="11" t="inlineStr">
        <is>
          <t>12c98a68-6648-4034-bc84-be590be1fed8</t>
        </is>
      </c>
      <c r="B165" s="11" t="inlineStr">
        <is>
          <t>Deka Lash - Demo City, NJ</t>
        </is>
      </c>
      <c r="C165" s="24" t="n">
        <v>46114</v>
      </c>
      <c r="D165" s="11" t="inlineStr">
        <is>
          <t>2026-04</t>
        </is>
      </c>
      <c r="E165" s="11" t="b">
        <v>1</v>
      </c>
      <c r="F165" s="11" t="b">
        <v>1</v>
      </c>
      <c r="G165" s="11" t="b">
        <v>0</v>
      </c>
      <c r="H165" s="11" t="b">
        <v>0</v>
      </c>
      <c r="I165" s="11" t="b">
        <v>0</v>
      </c>
      <c r="J165" s="11" t="b">
        <v>0</v>
      </c>
      <c r="K165" s="11" t="b">
        <v>0</v>
      </c>
      <c r="L165" s="11" t="b">
        <v>0</v>
      </c>
      <c r="M165" s="11" t="b">
        <v>0</v>
      </c>
      <c r="N165" s="11" t="b">
        <v>0</v>
      </c>
      <c r="O165" s="11" t="n">
        <v>0</v>
      </c>
      <c r="P165" s="11" t="n">
        <v>0</v>
      </c>
      <c r="Q165" s="11" t="n">
        <v>0</v>
      </c>
      <c r="R165" s="11" t="n"/>
      <c r="S165" s="24" t="n"/>
      <c r="T165" s="24" t="n"/>
      <c r="U165" s="11" t="n">
        <v>0</v>
      </c>
      <c r="V165" s="12" t="n">
        <v>0</v>
      </c>
      <c r="W165" s="11" t="n"/>
      <c r="X165" s="12" t="n"/>
      <c r="Y165" s="11" t="n"/>
      <c r="Z165" s="11" t="inlineStr">
        <is>
          <t>gbp</t>
        </is>
      </c>
    </row>
    <row r="166">
      <c r="A166" s="8" t="inlineStr">
        <is>
          <t>5d6e0a66-9e21-4554-8bb7-c3cf4b060601</t>
        </is>
      </c>
      <c r="B166" s="34" t="inlineStr">
        <is>
          <t>(name not on file)</t>
        </is>
      </c>
      <c r="C166" s="23" t="n">
        <v>46114</v>
      </c>
      <c r="D166" s="8" t="inlineStr">
        <is>
          <t>2026-04</t>
        </is>
      </c>
      <c r="E166" s="8" t="b">
        <v>1</v>
      </c>
      <c r="F166" s="8" t="b">
        <v>1</v>
      </c>
      <c r="G166" s="8" t="b">
        <v>1</v>
      </c>
      <c r="H166" s="8" t="b">
        <v>1</v>
      </c>
      <c r="I166" s="8" t="b">
        <v>1</v>
      </c>
      <c r="J166" s="8" t="b">
        <v>0</v>
      </c>
      <c r="K166" s="8" t="b">
        <v>1</v>
      </c>
      <c r="L166" s="8" t="b">
        <v>1</v>
      </c>
      <c r="M166" s="8" t="b">
        <v>1</v>
      </c>
      <c r="N166" s="8" t="b">
        <v>1</v>
      </c>
      <c r="O166" s="8" t="n">
        <v>1</v>
      </c>
      <c r="P166" s="8" t="n">
        <v>1</v>
      </c>
      <c r="Q166" s="8" t="n">
        <v>0</v>
      </c>
      <c r="R166" s="8" t="n"/>
      <c r="S166" s="23" t="n">
        <v>46122</v>
      </c>
      <c r="T166" s="23" t="n">
        <v>46122</v>
      </c>
      <c r="U166" s="8" t="n">
        <v>0</v>
      </c>
      <c r="V166" s="9" t="n">
        <v>0</v>
      </c>
      <c r="W166" s="8" t="n"/>
      <c r="X166" s="9" t="n"/>
      <c r="Y166" s="8" t="n"/>
      <c r="Z166" s="8" t="inlineStr">
        <is>
          <t>unknown</t>
        </is>
      </c>
    </row>
    <row r="167">
      <c r="A167" s="11" t="inlineStr">
        <is>
          <t>7618cf26-f480-47a8-af8f-38a89cf9a77b</t>
        </is>
      </c>
      <c r="B167" s="11" t="inlineStr">
        <is>
          <t>Gauri Khan Threading</t>
        </is>
      </c>
      <c r="C167" s="24" t="n">
        <v>46115</v>
      </c>
      <c r="D167" s="11" t="inlineStr">
        <is>
          <t>2026-04</t>
        </is>
      </c>
      <c r="E167" s="11" t="b">
        <v>1</v>
      </c>
      <c r="F167" s="11" t="b">
        <v>1</v>
      </c>
      <c r="G167" s="11" t="b">
        <v>1</v>
      </c>
      <c r="H167" s="11" t="b">
        <v>1</v>
      </c>
      <c r="I167" s="11" t="b">
        <v>1</v>
      </c>
      <c r="J167" s="11" t="b">
        <v>0</v>
      </c>
      <c r="K167" s="11" t="b">
        <v>1</v>
      </c>
      <c r="L167" s="11" t="b">
        <v>1</v>
      </c>
      <c r="M167" s="11" t="b">
        <v>1</v>
      </c>
      <c r="N167" s="11" t="b">
        <v>1</v>
      </c>
      <c r="O167" s="11" t="n">
        <v>12</v>
      </c>
      <c r="P167" s="11" t="n">
        <v>3</v>
      </c>
      <c r="Q167" s="11" t="n">
        <v>0</v>
      </c>
      <c r="R167" s="11" t="n"/>
      <c r="S167" s="24" t="n">
        <v>46115</v>
      </c>
      <c r="T167" s="24" t="n">
        <v>46118</v>
      </c>
      <c r="U167" s="11" t="n">
        <v>1</v>
      </c>
      <c r="V167" s="12" t="n">
        <v>60</v>
      </c>
      <c r="W167" s="11" t="n"/>
      <c r="X167" s="12" t="n"/>
      <c r="Y167" s="11" t="n"/>
      <c r="Z167" s="11" t="inlineStr">
        <is>
          <t>businesses</t>
        </is>
      </c>
    </row>
    <row r="168">
      <c r="A168" s="8" t="inlineStr">
        <is>
          <t>12910010-c9c1-41bd-8084-f28fbdde7883</t>
        </is>
      </c>
      <c r="B168" s="8" t="inlineStr">
        <is>
          <t>kosme Nails Studio &amp; Academy</t>
        </is>
      </c>
      <c r="C168" s="23" t="n">
        <v>46116</v>
      </c>
      <c r="D168" s="8" t="inlineStr">
        <is>
          <t>2026-04</t>
        </is>
      </c>
      <c r="E168" s="8" t="b">
        <v>1</v>
      </c>
      <c r="F168" s="8" t="b">
        <v>1</v>
      </c>
      <c r="G168" s="8" t="b">
        <v>0</v>
      </c>
      <c r="H168" s="8" t="b">
        <v>0</v>
      </c>
      <c r="I168" s="8" t="b">
        <v>0</v>
      </c>
      <c r="J168" s="8" t="b">
        <v>0</v>
      </c>
      <c r="K168" s="8" t="b">
        <v>0</v>
      </c>
      <c r="L168" s="8" t="b">
        <v>0</v>
      </c>
      <c r="M168" s="8" t="b">
        <v>0</v>
      </c>
      <c r="N168" s="8" t="b">
        <v>0</v>
      </c>
      <c r="O168" s="8" t="n">
        <v>0</v>
      </c>
      <c r="P168" s="8" t="n">
        <v>0</v>
      </c>
      <c r="Q168" s="8" t="n">
        <v>0</v>
      </c>
      <c r="R168" s="8" t="n"/>
      <c r="S168" s="23" t="n"/>
      <c r="T168" s="23" t="n"/>
      <c r="U168" s="8" t="n">
        <v>0</v>
      </c>
      <c r="V168" s="9" t="n">
        <v>0</v>
      </c>
      <c r="W168" s="8" t="inlineStr">
        <is>
          <t>AzZh3UVFTNbpy35uA</t>
        </is>
      </c>
      <c r="X168" s="9" t="n">
        <v>149</v>
      </c>
      <c r="Y168" s="8" t="inlineStr">
        <is>
          <t>active</t>
        </is>
      </c>
      <c r="Z168" s="8" t="inlineStr">
        <is>
          <t>gbp</t>
        </is>
      </c>
    </row>
    <row r="169">
      <c r="A169" s="11" t="inlineStr">
        <is>
          <t>87978985-a6ba-4d12-810f-5e0f88bce325</t>
        </is>
      </c>
      <c r="B169" s="11" t="inlineStr">
        <is>
          <t>Its saxena company</t>
        </is>
      </c>
      <c r="C169" s="24" t="n">
        <v>46118</v>
      </c>
      <c r="D169" s="11" t="inlineStr">
        <is>
          <t>2026-04</t>
        </is>
      </c>
      <c r="E169" s="11" t="b">
        <v>1</v>
      </c>
      <c r="F169" s="11" t="b">
        <v>1</v>
      </c>
      <c r="G169" s="11" t="b">
        <v>1</v>
      </c>
      <c r="H169" s="11" t="b">
        <v>1</v>
      </c>
      <c r="I169" s="11" t="b">
        <v>1</v>
      </c>
      <c r="J169" s="11" t="b">
        <v>0</v>
      </c>
      <c r="K169" s="11" t="b">
        <v>1</v>
      </c>
      <c r="L169" s="11" t="b">
        <v>1</v>
      </c>
      <c r="M169" s="11" t="b">
        <v>1</v>
      </c>
      <c r="N169" s="11" t="b">
        <v>1</v>
      </c>
      <c r="O169" s="11" t="n">
        <v>27</v>
      </c>
      <c r="P169" s="11" t="n">
        <v>16</v>
      </c>
      <c r="Q169" s="11" t="n">
        <v>0</v>
      </c>
      <c r="R169" s="11" t="n"/>
      <c r="S169" s="24" t="n">
        <v>46118</v>
      </c>
      <c r="T169" s="24" t="n">
        <v>46119</v>
      </c>
      <c r="U169" s="11" t="n">
        <v>1</v>
      </c>
      <c r="V169" s="12" t="n">
        <v>88.44</v>
      </c>
      <c r="W169" s="11" t="n"/>
      <c r="X169" s="12" t="n"/>
      <c r="Y169" s="11" t="n"/>
      <c r="Z169" s="11" t="inlineStr">
        <is>
          <t>gbp_logs</t>
        </is>
      </c>
    </row>
    <row r="170">
      <c r="A170" s="8" t="inlineStr">
        <is>
          <t>3faa2958-b55a-41e8-8a2d-f52460349fee</t>
        </is>
      </c>
      <c r="B170" s="34" t="inlineStr">
        <is>
          <t>(name not on file)</t>
        </is>
      </c>
      <c r="C170" s="23" t="n">
        <v>46118</v>
      </c>
      <c r="D170" s="8" t="inlineStr">
        <is>
          <t>2026-04</t>
        </is>
      </c>
      <c r="E170" s="8" t="b">
        <v>1</v>
      </c>
      <c r="F170" s="8" t="b">
        <v>1</v>
      </c>
      <c r="G170" s="8" t="b">
        <v>1</v>
      </c>
      <c r="H170" s="8" t="b">
        <v>1</v>
      </c>
      <c r="I170" s="8" t="b">
        <v>1</v>
      </c>
      <c r="J170" s="8" t="b">
        <v>0</v>
      </c>
      <c r="K170" s="8" t="b">
        <v>1</v>
      </c>
      <c r="L170" s="8" t="b">
        <v>1</v>
      </c>
      <c r="M170" s="8" t="b">
        <v>1</v>
      </c>
      <c r="N170" s="8" t="b">
        <v>1</v>
      </c>
      <c r="O170" s="8" t="n">
        <v>0</v>
      </c>
      <c r="P170" s="8" t="n">
        <v>0</v>
      </c>
      <c r="Q170" s="8" t="n">
        <v>0</v>
      </c>
      <c r="R170" s="8" t="n"/>
      <c r="S170" s="23" t="n"/>
      <c r="T170" s="23" t="n"/>
      <c r="U170" s="8" t="n">
        <v>0</v>
      </c>
      <c r="V170" s="9" t="n">
        <v>0</v>
      </c>
      <c r="W170" s="8" t="n"/>
      <c r="X170" s="9" t="n"/>
      <c r="Y170" s="8" t="n"/>
      <c r="Z170" s="8" t="inlineStr">
        <is>
          <t>unknown</t>
        </is>
      </c>
    </row>
    <row r="171">
      <c r="A171" s="11" t="inlineStr">
        <is>
          <t>7a82fdbb-f519-4d38-b3f9-b8dfd5760d0b</t>
        </is>
      </c>
      <c r="B171" s="11" t="inlineStr">
        <is>
          <t>Slayishhh Blast</t>
        </is>
      </c>
      <c r="C171" s="24" t="n">
        <v>46118</v>
      </c>
      <c r="D171" s="11" t="inlineStr">
        <is>
          <t>2026-04</t>
        </is>
      </c>
      <c r="E171" s="11" t="b">
        <v>1</v>
      </c>
      <c r="F171" s="11" t="b">
        <v>1</v>
      </c>
      <c r="G171" s="11" t="b">
        <v>1</v>
      </c>
      <c r="H171" s="11" t="b">
        <v>1</v>
      </c>
      <c r="I171" s="11" t="b">
        <v>1</v>
      </c>
      <c r="J171" s="11" t="b">
        <v>0</v>
      </c>
      <c r="K171" s="11" t="b">
        <v>1</v>
      </c>
      <c r="L171" s="11" t="b">
        <v>1</v>
      </c>
      <c r="M171" s="11" t="b">
        <v>1</v>
      </c>
      <c r="N171" s="11" t="b">
        <v>1</v>
      </c>
      <c r="O171" s="11" t="n">
        <v>28</v>
      </c>
      <c r="P171" s="11" t="n">
        <v>28</v>
      </c>
      <c r="Q171" s="11" t="n">
        <v>0</v>
      </c>
      <c r="R171" s="11" t="n"/>
      <c r="S171" s="24" t="n">
        <v>46119</v>
      </c>
      <c r="T171" s="24" t="n">
        <v>46157</v>
      </c>
      <c r="U171" s="11" t="n">
        <v>0</v>
      </c>
      <c r="V171" s="12" t="n">
        <v>0</v>
      </c>
      <c r="W171" s="11" t="inlineStr">
        <is>
          <t>AzZK3RUwbEenq2HB3</t>
        </is>
      </c>
      <c r="X171" s="12" t="n"/>
      <c r="Y171" s="11" t="inlineStr">
        <is>
          <t>cancelled</t>
        </is>
      </c>
      <c r="Z171" s="11" t="inlineStr">
        <is>
          <t>gbp_logs</t>
        </is>
      </c>
    </row>
    <row r="172">
      <c r="A172" s="8" t="inlineStr">
        <is>
          <t>54d60fa0-e05a-4489-9ba0-76eb45465a36</t>
        </is>
      </c>
      <c r="B172" s="34" t="inlineStr">
        <is>
          <t>(name not on file)</t>
        </is>
      </c>
      <c r="C172" s="23" t="n">
        <v>46119</v>
      </c>
      <c r="D172" s="8" t="inlineStr">
        <is>
          <t>2026-04</t>
        </is>
      </c>
      <c r="E172" s="8" t="b">
        <v>1</v>
      </c>
      <c r="F172" s="8" t="b">
        <v>1</v>
      </c>
      <c r="G172" s="8" t="b">
        <v>1</v>
      </c>
      <c r="H172" s="8" t="b">
        <v>1</v>
      </c>
      <c r="I172" s="8" t="b">
        <v>1</v>
      </c>
      <c r="J172" s="8" t="b">
        <v>0</v>
      </c>
      <c r="K172" s="8" t="b">
        <v>1</v>
      </c>
      <c r="L172" s="8" t="b">
        <v>1</v>
      </c>
      <c r="M172" s="8" t="b">
        <v>1</v>
      </c>
      <c r="N172" s="8" t="b">
        <v>1</v>
      </c>
      <c r="O172" s="8" t="n">
        <v>2</v>
      </c>
      <c r="P172" s="8" t="n">
        <v>1</v>
      </c>
      <c r="Q172" s="8" t="n">
        <v>0</v>
      </c>
      <c r="R172" s="8" t="n"/>
      <c r="S172" s="23" t="n">
        <v>46119</v>
      </c>
      <c r="T172" s="23" t="n">
        <v>46119</v>
      </c>
      <c r="U172" s="8" t="n">
        <v>0</v>
      </c>
      <c r="V172" s="9" t="n">
        <v>0</v>
      </c>
      <c r="W172" s="8" t="n"/>
      <c r="X172" s="9" t="n"/>
      <c r="Y172" s="8" t="n"/>
      <c r="Z172" s="8" t="inlineStr">
        <is>
          <t>unknown</t>
        </is>
      </c>
    </row>
    <row r="173">
      <c r="A173" s="11" t="inlineStr">
        <is>
          <t>b532e472-4be1-419c-83d8-5a6446f83d33</t>
        </is>
      </c>
      <c r="B173" s="11" t="inlineStr">
        <is>
          <t>Doom Salon</t>
        </is>
      </c>
      <c r="C173" s="24" t="n">
        <v>46119</v>
      </c>
      <c r="D173" s="11" t="inlineStr">
        <is>
          <t>2026-04</t>
        </is>
      </c>
      <c r="E173" s="11" t="b">
        <v>1</v>
      </c>
      <c r="F173" s="11" t="b">
        <v>1</v>
      </c>
      <c r="G173" s="11" t="b">
        <v>1</v>
      </c>
      <c r="H173" s="11" t="b">
        <v>1</v>
      </c>
      <c r="I173" s="11" t="b">
        <v>1</v>
      </c>
      <c r="J173" s="11" t="b">
        <v>0</v>
      </c>
      <c r="K173" s="11" t="b">
        <v>1</v>
      </c>
      <c r="L173" s="11" t="b">
        <v>1</v>
      </c>
      <c r="M173" s="11" t="b">
        <v>1</v>
      </c>
      <c r="N173" s="11" t="b">
        <v>1</v>
      </c>
      <c r="O173" s="11" t="n">
        <v>2772</v>
      </c>
      <c r="P173" s="11" t="n">
        <v>0</v>
      </c>
      <c r="Q173" s="11" t="n">
        <v>0</v>
      </c>
      <c r="R173" s="11" t="n"/>
      <c r="S173" s="24" t="n">
        <v>43833</v>
      </c>
      <c r="T173" s="24" t="n">
        <v>46641</v>
      </c>
      <c r="U173" s="11" t="n">
        <v>0</v>
      </c>
      <c r="V173" s="12" t="n">
        <v>0</v>
      </c>
      <c r="W173" s="11" t="n"/>
      <c r="X173" s="12" t="n"/>
      <c r="Y173" s="11" t="n"/>
      <c r="Z173" s="11" t="inlineStr">
        <is>
          <t>gbp_logs</t>
        </is>
      </c>
    </row>
    <row r="174">
      <c r="A174" s="8" t="inlineStr">
        <is>
          <t>6802835b-9ac8-468f-bf9c-04eb43afb331</t>
        </is>
      </c>
      <c r="B174" s="8" t="inlineStr">
        <is>
          <t>Its saxena company</t>
        </is>
      </c>
      <c r="C174" s="23" t="n">
        <v>46119</v>
      </c>
      <c r="D174" s="8" t="inlineStr">
        <is>
          <t>2026-04</t>
        </is>
      </c>
      <c r="E174" s="8" t="b">
        <v>1</v>
      </c>
      <c r="F174" s="8" t="b">
        <v>1</v>
      </c>
      <c r="G174" s="8" t="b">
        <v>1</v>
      </c>
      <c r="H174" s="8" t="b">
        <v>1</v>
      </c>
      <c r="I174" s="8" t="b">
        <v>1</v>
      </c>
      <c r="J174" s="8" t="b">
        <v>0</v>
      </c>
      <c r="K174" s="8" t="b">
        <v>1</v>
      </c>
      <c r="L174" s="8" t="b">
        <v>1</v>
      </c>
      <c r="M174" s="8" t="b">
        <v>1</v>
      </c>
      <c r="N174" s="8" t="b">
        <v>1</v>
      </c>
      <c r="O174" s="8" t="n">
        <v>2</v>
      </c>
      <c r="P174" s="8" t="n">
        <v>2</v>
      </c>
      <c r="Q174" s="8" t="n">
        <v>0</v>
      </c>
      <c r="R174" s="8" t="n"/>
      <c r="S174" s="23" t="n">
        <v>46119</v>
      </c>
      <c r="T174" s="23" t="n">
        <v>46119</v>
      </c>
      <c r="U174" s="8" t="n">
        <v>0</v>
      </c>
      <c r="V174" s="9" t="n">
        <v>0</v>
      </c>
      <c r="W174" s="8" t="n"/>
      <c r="X174" s="9" t="n"/>
      <c r="Y174" s="8" t="n"/>
      <c r="Z174" s="8" t="inlineStr">
        <is>
          <t>gbp_logs</t>
        </is>
      </c>
    </row>
    <row r="175">
      <c r="A175" s="11" t="inlineStr">
        <is>
          <t>c256c9dd-04f8-44c5-a4c8-373b37545a9d</t>
        </is>
      </c>
      <c r="B175" s="11" t="inlineStr">
        <is>
          <t>Natasha leas &amp; spa</t>
        </is>
      </c>
      <c r="C175" s="24" t="n">
        <v>46119</v>
      </c>
      <c r="D175" s="11" t="inlineStr">
        <is>
          <t>2026-04</t>
        </is>
      </c>
      <c r="E175" s="11" t="b">
        <v>1</v>
      </c>
      <c r="F175" s="11" t="b">
        <v>1</v>
      </c>
      <c r="G175" s="11" t="b">
        <v>1</v>
      </c>
      <c r="H175" s="11" t="b">
        <v>1</v>
      </c>
      <c r="I175" s="11" t="b">
        <v>1</v>
      </c>
      <c r="J175" s="11" t="b">
        <v>0</v>
      </c>
      <c r="K175" s="11" t="b">
        <v>1</v>
      </c>
      <c r="L175" s="11" t="b">
        <v>1</v>
      </c>
      <c r="M175" s="11" t="b">
        <v>1</v>
      </c>
      <c r="N175" s="11" t="b">
        <v>1</v>
      </c>
      <c r="O175" s="11" t="n">
        <v>0</v>
      </c>
      <c r="P175" s="11" t="n">
        <v>0</v>
      </c>
      <c r="Q175" s="11" t="n">
        <v>0</v>
      </c>
      <c r="R175" s="11" t="n"/>
      <c r="S175" s="24" t="n"/>
      <c r="T175" s="24" t="n"/>
      <c r="U175" s="11" t="n">
        <v>0</v>
      </c>
      <c r="V175" s="12" t="n">
        <v>0</v>
      </c>
      <c r="W175" s="11" t="n"/>
      <c r="X175" s="12" t="n"/>
      <c r="Y175" s="11" t="n"/>
      <c r="Z175" s="11" t="inlineStr">
        <is>
          <t>gbp_logs</t>
        </is>
      </c>
    </row>
    <row r="176">
      <c r="A176" s="8" t="inlineStr">
        <is>
          <t>59bf571d-920f-42b3-a50e-ea97b0d9feec</t>
        </is>
      </c>
      <c r="B176" s="8" t="inlineStr">
        <is>
          <t>Braids On Point</t>
        </is>
      </c>
      <c r="C176" s="23" t="n">
        <v>46119</v>
      </c>
      <c r="D176" s="8" t="inlineStr">
        <is>
          <t>2026-04</t>
        </is>
      </c>
      <c r="E176" s="8" t="b">
        <v>1</v>
      </c>
      <c r="F176" s="8" t="b">
        <v>1</v>
      </c>
      <c r="G176" s="8" t="b">
        <v>1</v>
      </c>
      <c r="H176" s="8" t="b">
        <v>1</v>
      </c>
      <c r="I176" s="8" t="b">
        <v>1</v>
      </c>
      <c r="J176" s="8" t="b">
        <v>1</v>
      </c>
      <c r="K176" s="8" t="b">
        <v>0</v>
      </c>
      <c r="L176" s="8" t="b">
        <v>1</v>
      </c>
      <c r="M176" s="8" t="b">
        <v>1</v>
      </c>
      <c r="N176" s="8" t="b">
        <v>1</v>
      </c>
      <c r="O176" s="8" t="n">
        <v>58</v>
      </c>
      <c r="P176" s="8" t="n">
        <v>58</v>
      </c>
      <c r="Q176" s="8" t="n">
        <v>0</v>
      </c>
      <c r="R176" s="8" t="n"/>
      <c r="S176" s="23" t="n">
        <v>46137</v>
      </c>
      <c r="T176" s="23" t="n">
        <v>46233</v>
      </c>
      <c r="U176" s="8" t="n">
        <v>57</v>
      </c>
      <c r="V176" s="9" t="n">
        <v>1728</v>
      </c>
      <c r="W176" s="8" t="inlineStr">
        <is>
          <t>AzqPexVFOlArabcsQ</t>
        </is>
      </c>
      <c r="X176" s="9" t="n">
        <v>150</v>
      </c>
      <c r="Y176" s="8" t="inlineStr">
        <is>
          <t>active</t>
        </is>
      </c>
      <c r="Z176" s="8" t="inlineStr">
        <is>
          <t>gbp</t>
        </is>
      </c>
    </row>
    <row r="177">
      <c r="A177" s="11" t="inlineStr">
        <is>
          <t>254124d3-9f5d-4a63-a08b-4b8e866dde0b</t>
        </is>
      </c>
      <c r="B177" s="11" t="inlineStr">
        <is>
          <t>Men’s Bodywork by Trevor James</t>
        </is>
      </c>
      <c r="C177" s="24" t="n">
        <v>46119</v>
      </c>
      <c r="D177" s="11" t="inlineStr">
        <is>
          <t>2026-04</t>
        </is>
      </c>
      <c r="E177" s="11" t="b">
        <v>1</v>
      </c>
      <c r="F177" s="11" t="b">
        <v>1</v>
      </c>
      <c r="G177" s="11" t="b">
        <v>1</v>
      </c>
      <c r="H177" s="11" t="b">
        <v>1</v>
      </c>
      <c r="I177" s="11" t="b">
        <v>1</v>
      </c>
      <c r="J177" s="11" t="b">
        <v>0</v>
      </c>
      <c r="K177" s="11" t="b">
        <v>1</v>
      </c>
      <c r="L177" s="11" t="b">
        <v>1</v>
      </c>
      <c r="M177" s="11" t="b">
        <v>1</v>
      </c>
      <c r="N177" s="11" t="b">
        <v>1</v>
      </c>
      <c r="O177" s="11" t="n">
        <v>0</v>
      </c>
      <c r="P177" s="11" t="n">
        <v>0</v>
      </c>
      <c r="Q177" s="11" t="n">
        <v>0</v>
      </c>
      <c r="R177" s="11" t="n"/>
      <c r="S177" s="24" t="n"/>
      <c r="T177" s="24" t="n"/>
      <c r="U177" s="11" t="n">
        <v>0</v>
      </c>
      <c r="V177" s="12" t="n">
        <v>0</v>
      </c>
      <c r="W177" s="11" t="n"/>
      <c r="X177" s="12" t="n"/>
      <c r="Y177" s="11" t="n"/>
      <c r="Z177" s="11" t="inlineStr">
        <is>
          <t>gbp</t>
        </is>
      </c>
    </row>
    <row r="178">
      <c r="A178" s="8" t="inlineStr">
        <is>
          <t>3418fff6-cf58-4e6e-9ba2-d7ebcec6660d</t>
        </is>
      </c>
      <c r="B178" s="8" t="inlineStr">
        <is>
          <t>The Body Lux: Brazilian Lymphatic Drainage &amp; Body Contouring</t>
        </is>
      </c>
      <c r="C178" s="23" t="n">
        <v>46119</v>
      </c>
      <c r="D178" s="8" t="inlineStr">
        <is>
          <t>2026-04</t>
        </is>
      </c>
      <c r="E178" s="8" t="b">
        <v>1</v>
      </c>
      <c r="F178" s="8" t="b">
        <v>1</v>
      </c>
      <c r="G178" s="8" t="b">
        <v>1</v>
      </c>
      <c r="H178" s="8" t="b">
        <v>1</v>
      </c>
      <c r="I178" s="8" t="b">
        <v>1</v>
      </c>
      <c r="J178" s="8" t="b">
        <v>1</v>
      </c>
      <c r="K178" s="8" t="b">
        <v>0</v>
      </c>
      <c r="L178" s="8" t="b">
        <v>1</v>
      </c>
      <c r="M178" s="8" t="b">
        <v>1</v>
      </c>
      <c r="N178" s="8" t="b">
        <v>1</v>
      </c>
      <c r="O178" s="8" t="n">
        <v>350</v>
      </c>
      <c r="P178" s="8" t="n">
        <v>44</v>
      </c>
      <c r="Q178" s="8" t="n">
        <v>0</v>
      </c>
      <c r="R178" s="8" t="n"/>
      <c r="S178" s="23" t="n">
        <v>46119</v>
      </c>
      <c r="T178" s="23" t="n">
        <v>46237</v>
      </c>
      <c r="U178" s="8" t="n">
        <v>97</v>
      </c>
      <c r="V178" s="9" t="n">
        <v>19154.84</v>
      </c>
      <c r="W178" s="8" t="inlineStr">
        <is>
          <t>AzyYF8UxkuGnF4HSg</t>
        </is>
      </c>
      <c r="X178" s="9" t="n">
        <v>99</v>
      </c>
      <c r="Y178" s="8" t="inlineStr">
        <is>
          <t>active</t>
        </is>
      </c>
      <c r="Z178" s="8" t="inlineStr">
        <is>
          <t>gbp</t>
        </is>
      </c>
    </row>
    <row r="179">
      <c r="A179" s="11" t="inlineStr">
        <is>
          <t>43b477ab-a0ed-4fab-989a-1bfb423958a5</t>
        </is>
      </c>
      <c r="B179" s="11" t="inlineStr">
        <is>
          <t>Robin Brooks Studio Salon</t>
        </is>
      </c>
      <c r="C179" s="24" t="n">
        <v>46120</v>
      </c>
      <c r="D179" s="11" t="inlineStr">
        <is>
          <t>2026-04</t>
        </is>
      </c>
      <c r="E179" s="11" t="b">
        <v>1</v>
      </c>
      <c r="F179" s="11" t="b">
        <v>1</v>
      </c>
      <c r="G179" s="11" t="b">
        <v>0</v>
      </c>
      <c r="H179" s="11" t="b">
        <v>0</v>
      </c>
      <c r="I179" s="11" t="b">
        <v>0</v>
      </c>
      <c r="J179" s="11" t="b">
        <v>0</v>
      </c>
      <c r="K179" s="11" t="b">
        <v>0</v>
      </c>
      <c r="L179" s="11" t="b">
        <v>0</v>
      </c>
      <c r="M179" s="11" t="b">
        <v>0</v>
      </c>
      <c r="N179" s="11" t="b">
        <v>0</v>
      </c>
      <c r="O179" s="11" t="n">
        <v>0</v>
      </c>
      <c r="P179" s="11" t="n">
        <v>0</v>
      </c>
      <c r="Q179" s="11" t="n">
        <v>0</v>
      </c>
      <c r="R179" s="11" t="n"/>
      <c r="S179" s="24" t="n"/>
      <c r="T179" s="24" t="n"/>
      <c r="U179" s="11" t="n">
        <v>0</v>
      </c>
      <c r="V179" s="12" t="n">
        <v>0</v>
      </c>
      <c r="W179" s="11" t="inlineStr">
        <is>
          <t>169qwZVG3vew95jc</t>
        </is>
      </c>
      <c r="X179" s="12" t="n"/>
      <c r="Y179" s="11" t="inlineStr">
        <is>
          <t>cancelled</t>
        </is>
      </c>
      <c r="Z179" s="11" t="inlineStr">
        <is>
          <t>gbp</t>
        </is>
      </c>
    </row>
    <row r="180">
      <c r="A180" s="8" t="inlineStr">
        <is>
          <t>22577c99-816f-4b0a-a4db-051d7e8d1350</t>
        </is>
      </c>
      <c r="B180" s="8" t="inlineStr">
        <is>
          <t>Jenny's African Braids And Beauty Salon</t>
        </is>
      </c>
      <c r="C180" s="23" t="n">
        <v>46120</v>
      </c>
      <c r="D180" s="8" t="inlineStr">
        <is>
          <t>2026-04</t>
        </is>
      </c>
      <c r="E180" s="8" t="b">
        <v>1</v>
      </c>
      <c r="F180" s="8" t="b">
        <v>1</v>
      </c>
      <c r="G180" s="8" t="b">
        <v>1</v>
      </c>
      <c r="H180" s="8" t="b">
        <v>1</v>
      </c>
      <c r="I180" s="8" t="b">
        <v>1</v>
      </c>
      <c r="J180" s="8" t="b">
        <v>1</v>
      </c>
      <c r="K180" s="8" t="b">
        <v>0</v>
      </c>
      <c r="L180" s="8" t="b">
        <v>1</v>
      </c>
      <c r="M180" s="8" t="b">
        <v>1</v>
      </c>
      <c r="N180" s="8" t="b">
        <v>1</v>
      </c>
      <c r="O180" s="8" t="n">
        <v>5</v>
      </c>
      <c r="P180" s="8" t="n">
        <v>5</v>
      </c>
      <c r="Q180" s="8" t="n">
        <v>0</v>
      </c>
      <c r="R180" s="8" t="n"/>
      <c r="S180" s="23" t="n">
        <v>46134</v>
      </c>
      <c r="T180" s="23" t="n">
        <v>46138</v>
      </c>
      <c r="U180" s="8" t="n">
        <v>5</v>
      </c>
      <c r="V180" s="9" t="n">
        <v>142.5</v>
      </c>
      <c r="W180" s="8" t="n"/>
      <c r="X180" s="9" t="n"/>
      <c r="Y180" s="8" t="n"/>
      <c r="Z180" s="8" t="inlineStr">
        <is>
          <t>gbp</t>
        </is>
      </c>
    </row>
    <row r="181">
      <c r="A181" s="11" t="inlineStr">
        <is>
          <t>c6779212-79b9-4ece-abba-9bffc8ad9da8</t>
        </is>
      </c>
      <c r="B181" s="11" t="inlineStr">
        <is>
          <t>Luna Lucci Hair Salon</t>
        </is>
      </c>
      <c r="C181" s="24" t="n">
        <v>46121</v>
      </c>
      <c r="D181" s="11" t="inlineStr">
        <is>
          <t>2026-04</t>
        </is>
      </c>
      <c r="E181" s="11" t="b">
        <v>1</v>
      </c>
      <c r="F181" s="11" t="b">
        <v>1</v>
      </c>
      <c r="G181" s="11" t="b">
        <v>1</v>
      </c>
      <c r="H181" s="11" t="b">
        <v>1</v>
      </c>
      <c r="I181" s="11" t="b">
        <v>1</v>
      </c>
      <c r="J181" s="11" t="b">
        <v>1</v>
      </c>
      <c r="K181" s="11" t="b">
        <v>0</v>
      </c>
      <c r="L181" s="11" t="b">
        <v>1</v>
      </c>
      <c r="M181" s="11" t="b">
        <v>1</v>
      </c>
      <c r="N181" s="11" t="b">
        <v>1</v>
      </c>
      <c r="O181" s="11" t="n">
        <v>56</v>
      </c>
      <c r="P181" s="11" t="n">
        <v>56</v>
      </c>
      <c r="Q181" s="11" t="n">
        <v>0</v>
      </c>
      <c r="R181" s="11" t="n"/>
      <c r="S181" s="24" t="n">
        <v>46134</v>
      </c>
      <c r="T181" s="24" t="n">
        <v>46234</v>
      </c>
      <c r="U181" s="11" t="n">
        <v>0</v>
      </c>
      <c r="V181" s="12" t="n">
        <v>0</v>
      </c>
      <c r="W181" s="11" t="inlineStr">
        <is>
          <t>AzqLyvV4LMNpW3BH</t>
        </is>
      </c>
      <c r="X181" s="12" t="n">
        <v>100</v>
      </c>
      <c r="Y181" s="11" t="inlineStr">
        <is>
          <t>active</t>
        </is>
      </c>
      <c r="Z181" s="11" t="inlineStr">
        <is>
          <t>gbp</t>
        </is>
      </c>
    </row>
    <row r="182">
      <c r="A182" s="8" t="inlineStr">
        <is>
          <t>2ac3e401-6fcb-4e48-bebb-69211b9c9dc8</t>
        </is>
      </c>
      <c r="B182" s="8" t="inlineStr">
        <is>
          <t>Its saxena company</t>
        </is>
      </c>
      <c r="C182" s="23" t="n">
        <v>46122</v>
      </c>
      <c r="D182" s="8" t="inlineStr">
        <is>
          <t>2026-04</t>
        </is>
      </c>
      <c r="E182" s="8" t="b">
        <v>1</v>
      </c>
      <c r="F182" s="8" t="b">
        <v>1</v>
      </c>
      <c r="G182" s="8" t="b">
        <v>1</v>
      </c>
      <c r="H182" s="8" t="b">
        <v>1</v>
      </c>
      <c r="I182" s="8" t="b">
        <v>1</v>
      </c>
      <c r="J182" s="8" t="b">
        <v>0</v>
      </c>
      <c r="K182" s="8" t="b">
        <v>1</v>
      </c>
      <c r="L182" s="8" t="b">
        <v>1</v>
      </c>
      <c r="M182" s="8" t="b">
        <v>1</v>
      </c>
      <c r="N182" s="8" t="b">
        <v>1</v>
      </c>
      <c r="O182" s="8" t="n">
        <v>2</v>
      </c>
      <c r="P182" s="8" t="n">
        <v>2</v>
      </c>
      <c r="Q182" s="8" t="n">
        <v>0</v>
      </c>
      <c r="R182" s="8" t="n"/>
      <c r="S182" s="23" t="n">
        <v>46127</v>
      </c>
      <c r="T182" s="23" t="n">
        <v>46132</v>
      </c>
      <c r="U182" s="8" t="n">
        <v>0</v>
      </c>
      <c r="V182" s="9" t="n">
        <v>0</v>
      </c>
      <c r="W182" s="8" t="n"/>
      <c r="X182" s="9" t="n"/>
      <c r="Y182" s="8" t="n"/>
      <c r="Z182" s="8" t="inlineStr">
        <is>
          <t>gbp_logs</t>
        </is>
      </c>
    </row>
    <row r="183">
      <c r="A183" s="11" t="inlineStr">
        <is>
          <t>8c0837a5-8fa6-40a0-a408-11660e70c12d</t>
        </is>
      </c>
      <c r="B183" s="11" t="inlineStr">
        <is>
          <t>Abundance Beauty Salon &amp; Lash Studio, Darien IL</t>
        </is>
      </c>
      <c r="C183" s="24" t="n">
        <v>46122</v>
      </c>
      <c r="D183" s="11" t="inlineStr">
        <is>
          <t>2026-04</t>
        </is>
      </c>
      <c r="E183" s="11" t="b">
        <v>1</v>
      </c>
      <c r="F183" s="11" t="b">
        <v>1</v>
      </c>
      <c r="G183" s="11" t="b">
        <v>1</v>
      </c>
      <c r="H183" s="11" t="b">
        <v>0</v>
      </c>
      <c r="I183" s="11" t="b">
        <v>0</v>
      </c>
      <c r="J183" s="11" t="b">
        <v>0</v>
      </c>
      <c r="K183" s="11" t="b">
        <v>0</v>
      </c>
      <c r="L183" s="11" t="b">
        <v>0</v>
      </c>
      <c r="M183" s="11" t="b">
        <v>0</v>
      </c>
      <c r="N183" s="11" t="b">
        <v>0</v>
      </c>
      <c r="O183" s="11" t="n">
        <v>0</v>
      </c>
      <c r="P183" s="11" t="n">
        <v>0</v>
      </c>
      <c r="Q183" s="11" t="n">
        <v>0</v>
      </c>
      <c r="R183" s="11" t="n"/>
      <c r="S183" s="24" t="n"/>
      <c r="T183" s="24" t="n"/>
      <c r="U183" s="11" t="n">
        <v>0</v>
      </c>
      <c r="V183" s="12" t="n">
        <v>0</v>
      </c>
      <c r="W183" s="11" t="inlineStr">
        <is>
          <t>16A0CZV5J1Am0HHy</t>
        </is>
      </c>
      <c r="X183" s="12" t="n">
        <v>199</v>
      </c>
      <c r="Y183" s="11" t="inlineStr">
        <is>
          <t>active</t>
        </is>
      </c>
      <c r="Z183" s="11" t="inlineStr">
        <is>
          <t>gbp</t>
        </is>
      </c>
    </row>
    <row r="184">
      <c r="A184" s="8" t="inlineStr">
        <is>
          <t>bee054ae-a19c-41d0-bbe1-90985c85be3f</t>
        </is>
      </c>
      <c r="B184" s="8" t="inlineStr">
        <is>
          <t>Alia Bhat Makeup</t>
        </is>
      </c>
      <c r="C184" s="23" t="n">
        <v>46122</v>
      </c>
      <c r="D184" s="8" t="inlineStr">
        <is>
          <t>2026-04</t>
        </is>
      </c>
      <c r="E184" s="8" t="b">
        <v>1</v>
      </c>
      <c r="F184" s="8" t="b">
        <v>1</v>
      </c>
      <c r="G184" s="8" t="b">
        <v>1</v>
      </c>
      <c r="H184" s="8" t="b">
        <v>1</v>
      </c>
      <c r="I184" s="8" t="b">
        <v>1</v>
      </c>
      <c r="J184" s="8" t="b">
        <v>0</v>
      </c>
      <c r="K184" s="8" t="b">
        <v>1</v>
      </c>
      <c r="L184" s="8" t="b">
        <v>1</v>
      </c>
      <c r="M184" s="8" t="b">
        <v>1</v>
      </c>
      <c r="N184" s="8" t="b">
        <v>1</v>
      </c>
      <c r="O184" s="8" t="n">
        <v>1</v>
      </c>
      <c r="P184" s="8" t="n">
        <v>1</v>
      </c>
      <c r="Q184" s="8" t="n">
        <v>0</v>
      </c>
      <c r="R184" s="8" t="n"/>
      <c r="S184" s="23" t="n">
        <v>46122</v>
      </c>
      <c r="T184" s="23" t="n">
        <v>46122</v>
      </c>
      <c r="U184" s="8" t="n">
        <v>0</v>
      </c>
      <c r="V184" s="9" t="n">
        <v>0</v>
      </c>
      <c r="W184" s="8" t="n"/>
      <c r="X184" s="9" t="n"/>
      <c r="Y184" s="8" t="n"/>
      <c r="Z184" s="8" t="inlineStr">
        <is>
          <t>gbp_logs</t>
        </is>
      </c>
    </row>
    <row r="185">
      <c r="A185" s="11" t="inlineStr">
        <is>
          <t>00a7859a-ccbe-407f-a7a7-a907dfdcaedb</t>
        </is>
      </c>
      <c r="B185" s="11" t="inlineStr">
        <is>
          <t>Zen Hair Studio &amp; Day Spa</t>
        </is>
      </c>
      <c r="C185" s="24" t="n">
        <v>46125</v>
      </c>
      <c r="D185" s="11" t="inlineStr">
        <is>
          <t>2026-04</t>
        </is>
      </c>
      <c r="E185" s="11" t="b">
        <v>1</v>
      </c>
      <c r="F185" s="11" t="b">
        <v>1</v>
      </c>
      <c r="G185" s="11" t="b">
        <v>0</v>
      </c>
      <c r="H185" s="11" t="b">
        <v>0</v>
      </c>
      <c r="I185" s="11" t="b">
        <v>0</v>
      </c>
      <c r="J185" s="11" t="b">
        <v>0</v>
      </c>
      <c r="K185" s="11" t="b">
        <v>0</v>
      </c>
      <c r="L185" s="11" t="b">
        <v>0</v>
      </c>
      <c r="M185" s="11" t="b">
        <v>0</v>
      </c>
      <c r="N185" s="11" t="b">
        <v>0</v>
      </c>
      <c r="O185" s="11" t="n">
        <v>0</v>
      </c>
      <c r="P185" s="11" t="n">
        <v>0</v>
      </c>
      <c r="Q185" s="11" t="n">
        <v>0</v>
      </c>
      <c r="R185" s="11" t="n"/>
      <c r="S185" s="24" t="n"/>
      <c r="T185" s="24" t="n"/>
      <c r="U185" s="11" t="n">
        <v>0</v>
      </c>
      <c r="V185" s="12" t="n">
        <v>0</v>
      </c>
      <c r="W185" s="11" t="inlineStr">
        <is>
          <t>AzqgWYUxGx0mB1bjj</t>
        </is>
      </c>
      <c r="X185" s="12" t="n">
        <v>249</v>
      </c>
      <c r="Y185" s="11" t="inlineStr">
        <is>
          <t>active</t>
        </is>
      </c>
      <c r="Z185" s="11" t="inlineStr">
        <is>
          <t>gbp</t>
        </is>
      </c>
    </row>
    <row r="186">
      <c r="A186" s="8" t="inlineStr">
        <is>
          <t>464925d1-2886-4abf-ac78-3bba2a849235</t>
        </is>
      </c>
      <c r="B186" s="8" t="inlineStr">
        <is>
          <t>Saxena's spa</t>
        </is>
      </c>
      <c r="C186" s="23" t="n">
        <v>46127</v>
      </c>
      <c r="D186" s="8" t="inlineStr">
        <is>
          <t>2026-04</t>
        </is>
      </c>
      <c r="E186" s="8" t="b">
        <v>1</v>
      </c>
      <c r="F186" s="8" t="b">
        <v>0</v>
      </c>
      <c r="G186" s="8" t="b">
        <v>0</v>
      </c>
      <c r="H186" s="8" t="b">
        <v>0</v>
      </c>
      <c r="I186" s="8" t="b">
        <v>0</v>
      </c>
      <c r="J186" s="8" t="b">
        <v>0</v>
      </c>
      <c r="K186" s="8" t="b">
        <v>0</v>
      </c>
      <c r="L186" s="8" t="b">
        <v>0</v>
      </c>
      <c r="M186" s="8" t="b">
        <v>0</v>
      </c>
      <c r="N186" s="8" t="b">
        <v>0</v>
      </c>
      <c r="O186" s="8" t="n">
        <v>0</v>
      </c>
      <c r="P186" s="8" t="n">
        <v>0</v>
      </c>
      <c r="Q186" s="8" t="n">
        <v>0</v>
      </c>
      <c r="R186" s="8" t="n"/>
      <c r="S186" s="23" t="n"/>
      <c r="T186" s="23" t="n"/>
      <c r="U186" s="8" t="n">
        <v>0</v>
      </c>
      <c r="V186" s="9" t="n">
        <v>0</v>
      </c>
      <c r="W186" s="8" t="n"/>
      <c r="X186" s="9" t="n"/>
      <c r="Y186" s="8" t="n"/>
      <c r="Z186" s="8" t="inlineStr">
        <is>
          <t>gbp_logs</t>
        </is>
      </c>
    </row>
    <row r="187">
      <c r="A187" s="11" t="inlineStr">
        <is>
          <t>0d87575e-50eb-4ae3-a1fa-c773e45b11de</t>
        </is>
      </c>
      <c r="B187" s="11" t="inlineStr">
        <is>
          <t>Alia Bhat Makeup</t>
        </is>
      </c>
      <c r="C187" s="24" t="n">
        <v>46127</v>
      </c>
      <c r="D187" s="11" t="inlineStr">
        <is>
          <t>2026-04</t>
        </is>
      </c>
      <c r="E187" s="11" t="b">
        <v>1</v>
      </c>
      <c r="F187" s="11" t="b">
        <v>1</v>
      </c>
      <c r="G187" s="11" t="b">
        <v>1</v>
      </c>
      <c r="H187" s="11" t="b">
        <v>1</v>
      </c>
      <c r="I187" s="11" t="b">
        <v>1</v>
      </c>
      <c r="J187" s="11" t="b">
        <v>0</v>
      </c>
      <c r="K187" s="11" t="b">
        <v>1</v>
      </c>
      <c r="L187" s="11" t="b">
        <v>1</v>
      </c>
      <c r="M187" s="11" t="b">
        <v>1</v>
      </c>
      <c r="N187" s="11" t="b">
        <v>1</v>
      </c>
      <c r="O187" s="11" t="n">
        <v>1</v>
      </c>
      <c r="P187" s="11" t="n">
        <v>1</v>
      </c>
      <c r="Q187" s="11" t="n">
        <v>0</v>
      </c>
      <c r="R187" s="11" t="n"/>
      <c r="S187" s="24" t="n">
        <v>46127</v>
      </c>
      <c r="T187" s="24" t="n">
        <v>46127</v>
      </c>
      <c r="U187" s="11" t="n">
        <v>0</v>
      </c>
      <c r="V187" s="12" t="n">
        <v>0</v>
      </c>
      <c r="W187" s="11" t="n"/>
      <c r="X187" s="12" t="n"/>
      <c r="Y187" s="11" t="n"/>
      <c r="Z187" s="11" t="inlineStr">
        <is>
          <t>gbp_logs</t>
        </is>
      </c>
    </row>
    <row r="188">
      <c r="A188" s="8" t="inlineStr">
        <is>
          <t>8cab3e2b-a0c7-4e86-b4f3-51c17f0752f8</t>
        </is>
      </c>
      <c r="B188" s="34" t="inlineStr">
        <is>
          <t>(name not on file)</t>
        </is>
      </c>
      <c r="C188" s="23" t="n">
        <v>46127</v>
      </c>
      <c r="D188" s="8" t="inlineStr">
        <is>
          <t>2026-04</t>
        </is>
      </c>
      <c r="E188" s="8" t="b">
        <v>1</v>
      </c>
      <c r="F188" s="8" t="b">
        <v>1</v>
      </c>
      <c r="G188" s="8" t="b">
        <v>1</v>
      </c>
      <c r="H188" s="8" t="b">
        <v>1</v>
      </c>
      <c r="I188" s="8" t="b">
        <v>1</v>
      </c>
      <c r="J188" s="8" t="b">
        <v>0</v>
      </c>
      <c r="K188" s="8" t="b">
        <v>1</v>
      </c>
      <c r="L188" s="8" t="b">
        <v>1</v>
      </c>
      <c r="M188" s="8" t="b">
        <v>1</v>
      </c>
      <c r="N188" s="8" t="b">
        <v>1</v>
      </c>
      <c r="O188" s="8" t="n">
        <v>11</v>
      </c>
      <c r="P188" s="8" t="n">
        <v>6</v>
      </c>
      <c r="Q188" s="8" t="n">
        <v>0</v>
      </c>
      <c r="R188" s="8" t="n"/>
      <c r="S188" s="23" t="n">
        <v>46127</v>
      </c>
      <c r="T188" s="23" t="n">
        <v>46128</v>
      </c>
      <c r="U188" s="8" t="n">
        <v>2</v>
      </c>
      <c r="V188" s="9" t="n">
        <v>134</v>
      </c>
      <c r="W188" s="8" t="n"/>
      <c r="X188" s="9" t="n"/>
      <c r="Y188" s="8" t="n"/>
      <c r="Z188" s="8" t="inlineStr">
        <is>
          <t>unknown</t>
        </is>
      </c>
    </row>
    <row r="189">
      <c r="A189" s="11" t="inlineStr">
        <is>
          <t>c1a37a77-abf8-4560-b725-1309c7208b04</t>
        </is>
      </c>
      <c r="B189" s="11" t="inlineStr">
        <is>
          <t>Kenny Braids</t>
        </is>
      </c>
      <c r="C189" s="24" t="n">
        <v>46127</v>
      </c>
      <c r="D189" s="11" t="inlineStr">
        <is>
          <t>2026-04</t>
        </is>
      </c>
      <c r="E189" s="11" t="b">
        <v>1</v>
      </c>
      <c r="F189" s="11" t="b">
        <v>1</v>
      </c>
      <c r="G189" s="11" t="b">
        <v>1</v>
      </c>
      <c r="H189" s="11" t="b">
        <v>1</v>
      </c>
      <c r="I189" s="11" t="b">
        <v>1</v>
      </c>
      <c r="J189" s="11" t="b">
        <v>1</v>
      </c>
      <c r="K189" s="11" t="b">
        <v>1</v>
      </c>
      <c r="L189" s="11" t="b">
        <v>1</v>
      </c>
      <c r="M189" s="11" t="b">
        <v>1</v>
      </c>
      <c r="N189" s="11" t="b">
        <v>1</v>
      </c>
      <c r="O189" s="11" t="n">
        <v>24</v>
      </c>
      <c r="P189" s="11" t="n">
        <v>22</v>
      </c>
      <c r="Q189" s="11" t="n">
        <v>0</v>
      </c>
      <c r="R189" s="11" t="n"/>
      <c r="S189" s="24" t="n">
        <v>46129</v>
      </c>
      <c r="T189" s="24" t="n">
        <v>46237</v>
      </c>
      <c r="U189" s="11" t="n">
        <v>19</v>
      </c>
      <c r="V189" s="12" t="n">
        <v>452</v>
      </c>
      <c r="W189" s="11" t="inlineStr">
        <is>
          <t>16BmDFUmp8xMxArlA</t>
        </is>
      </c>
      <c r="X189" s="12" t="n">
        <v>120</v>
      </c>
      <c r="Y189" s="11" t="inlineStr">
        <is>
          <t>active</t>
        </is>
      </c>
      <c r="Z189" s="11" t="inlineStr">
        <is>
          <t>gbp</t>
        </is>
      </c>
    </row>
    <row r="190">
      <c r="A190" s="8" t="inlineStr">
        <is>
          <t>d6b3c88a-6f69-404b-bee9-4097d7a3a949</t>
        </is>
      </c>
      <c r="B190" s="8" t="inlineStr">
        <is>
          <t>Looks Threading &amp; Hair Salon</t>
        </is>
      </c>
      <c r="C190" s="23" t="n">
        <v>46127</v>
      </c>
      <c r="D190" s="8" t="inlineStr">
        <is>
          <t>2026-04</t>
        </is>
      </c>
      <c r="E190" s="8" t="b">
        <v>1</v>
      </c>
      <c r="F190" s="8" t="b">
        <v>1</v>
      </c>
      <c r="G190" s="8" t="b">
        <v>1</v>
      </c>
      <c r="H190" s="8" t="b">
        <v>1</v>
      </c>
      <c r="I190" s="8" t="b">
        <v>1</v>
      </c>
      <c r="J190" s="8" t="b">
        <v>1</v>
      </c>
      <c r="K190" s="8" t="b">
        <v>0</v>
      </c>
      <c r="L190" s="8" t="b">
        <v>1</v>
      </c>
      <c r="M190" s="8" t="b">
        <v>1</v>
      </c>
      <c r="N190" s="8" t="b">
        <v>1</v>
      </c>
      <c r="O190" s="8" t="n">
        <v>30</v>
      </c>
      <c r="P190" s="8" t="n">
        <v>30</v>
      </c>
      <c r="Q190" s="8" t="n">
        <v>0</v>
      </c>
      <c r="R190" s="8" t="n"/>
      <c r="S190" s="23" t="n">
        <v>46140</v>
      </c>
      <c r="T190" s="23" t="n">
        <v>46235</v>
      </c>
      <c r="U190" s="8" t="n">
        <v>1</v>
      </c>
      <c r="V190" s="9" t="n">
        <v>95</v>
      </c>
      <c r="W190" s="8" t="inlineStr">
        <is>
          <t>Azi8ufV9j8pF94XK</t>
        </is>
      </c>
      <c r="X190" s="9" t="n">
        <v>200</v>
      </c>
      <c r="Y190" s="8" t="inlineStr">
        <is>
          <t>active</t>
        </is>
      </c>
      <c r="Z190" s="8" t="inlineStr">
        <is>
          <t>gbp</t>
        </is>
      </c>
    </row>
    <row r="191">
      <c r="A191" s="11" t="inlineStr">
        <is>
          <t>36152ed0-f420-4245-96cc-bdcc350f9733</t>
        </is>
      </c>
      <c r="B191" s="33" t="inlineStr">
        <is>
          <t>(name not on file)</t>
        </is>
      </c>
      <c r="C191" s="24" t="n">
        <v>46128</v>
      </c>
      <c r="D191" s="11" t="inlineStr">
        <is>
          <t>2026-04</t>
        </is>
      </c>
      <c r="E191" s="11" t="b">
        <v>1</v>
      </c>
      <c r="F191" s="11" t="b">
        <v>1</v>
      </c>
      <c r="G191" s="11" t="b">
        <v>1</v>
      </c>
      <c r="H191" s="11" t="b">
        <v>1</v>
      </c>
      <c r="I191" s="11" t="b">
        <v>1</v>
      </c>
      <c r="J191" s="11" t="b">
        <v>0</v>
      </c>
      <c r="K191" s="11" t="b">
        <v>1</v>
      </c>
      <c r="L191" s="11" t="b">
        <v>1</v>
      </c>
      <c r="M191" s="11" t="b">
        <v>1</v>
      </c>
      <c r="N191" s="11" t="b">
        <v>1</v>
      </c>
      <c r="O191" s="11" t="n">
        <v>3</v>
      </c>
      <c r="P191" s="11" t="n">
        <v>2</v>
      </c>
      <c r="Q191" s="11" t="n">
        <v>0</v>
      </c>
      <c r="R191" s="11" t="n"/>
      <c r="S191" s="24" t="n">
        <v>46128</v>
      </c>
      <c r="T191" s="24" t="n">
        <v>46128</v>
      </c>
      <c r="U191" s="11" t="n">
        <v>0</v>
      </c>
      <c r="V191" s="12" t="n">
        <v>0</v>
      </c>
      <c r="W191" s="11" t="n"/>
      <c r="X191" s="12" t="n"/>
      <c r="Y191" s="11" t="n"/>
      <c r="Z191" s="11" t="inlineStr">
        <is>
          <t>unknown</t>
        </is>
      </c>
    </row>
    <row r="192">
      <c r="A192" s="8" t="inlineStr">
        <is>
          <t>c2561bac-445a-499b-94d3-02d7053bba8e</t>
        </is>
      </c>
      <c r="B192" s="8" t="inlineStr">
        <is>
          <t>Colors By Kyla</t>
        </is>
      </c>
      <c r="C192" s="23" t="n">
        <v>46128</v>
      </c>
      <c r="D192" s="8" t="inlineStr">
        <is>
          <t>2026-04</t>
        </is>
      </c>
      <c r="E192" s="8" t="b">
        <v>1</v>
      </c>
      <c r="F192" s="8" t="b">
        <v>1</v>
      </c>
      <c r="G192" s="8" t="b">
        <v>1</v>
      </c>
      <c r="H192" s="8" t="b">
        <v>1</v>
      </c>
      <c r="I192" s="8" t="b">
        <v>1</v>
      </c>
      <c r="J192" s="8" t="b">
        <v>0</v>
      </c>
      <c r="K192" s="8" t="b">
        <v>1</v>
      </c>
      <c r="L192" s="8" t="b">
        <v>1</v>
      </c>
      <c r="M192" s="8" t="b">
        <v>1</v>
      </c>
      <c r="N192" s="8" t="b">
        <v>1</v>
      </c>
      <c r="O192" s="8" t="n">
        <v>462</v>
      </c>
      <c r="P192" s="8" t="n">
        <v>25</v>
      </c>
      <c r="Q192" s="8" t="n">
        <v>0</v>
      </c>
      <c r="R192" s="8" t="n"/>
      <c r="S192" s="23" t="n">
        <v>45513</v>
      </c>
      <c r="T192" s="23" t="n">
        <v>46232</v>
      </c>
      <c r="U192" s="8" t="n">
        <v>0</v>
      </c>
      <c r="V192" s="9" t="n">
        <v>0</v>
      </c>
      <c r="W192" s="8" t="inlineStr">
        <is>
          <t>cus_QOCBjvgZ2GNtel</t>
        </is>
      </c>
      <c r="X192" s="9" t="n">
        <v>150</v>
      </c>
      <c r="Y192" s="8" t="inlineStr">
        <is>
          <t>active</t>
        </is>
      </c>
      <c r="Z192" s="8" t="inlineStr">
        <is>
          <t>gbp</t>
        </is>
      </c>
    </row>
    <row r="193">
      <c r="A193" s="11" t="inlineStr">
        <is>
          <t>1bc6e30e-65e2-4764-ab83-a91fbafb0ada</t>
        </is>
      </c>
      <c r="B193" s="11" t="inlineStr">
        <is>
          <t>Signature Beauty Clinic</t>
        </is>
      </c>
      <c r="C193" s="24" t="n">
        <v>46128</v>
      </c>
      <c r="D193" s="11" t="inlineStr">
        <is>
          <t>2026-04</t>
        </is>
      </c>
      <c r="E193" s="11" t="b">
        <v>1</v>
      </c>
      <c r="F193" s="11" t="b">
        <v>1</v>
      </c>
      <c r="G193" s="11" t="b">
        <v>1</v>
      </c>
      <c r="H193" s="11" t="b">
        <v>1</v>
      </c>
      <c r="I193" s="11" t="b">
        <v>1</v>
      </c>
      <c r="J193" s="11" t="b">
        <v>1</v>
      </c>
      <c r="K193" s="11" t="b">
        <v>0</v>
      </c>
      <c r="L193" s="11" t="b">
        <v>1</v>
      </c>
      <c r="M193" s="11" t="b">
        <v>1</v>
      </c>
      <c r="N193" s="11" t="b">
        <v>1</v>
      </c>
      <c r="O193" s="11" t="n">
        <v>9</v>
      </c>
      <c r="P193" s="11" t="n">
        <v>7</v>
      </c>
      <c r="Q193" s="11" t="n">
        <v>0</v>
      </c>
      <c r="R193" s="11" t="n"/>
      <c r="S193" s="24" t="n">
        <v>46132</v>
      </c>
      <c r="T193" s="24" t="n">
        <v>46217</v>
      </c>
      <c r="U193" s="11" t="n">
        <v>6</v>
      </c>
      <c r="V193" s="12" t="n">
        <v>187</v>
      </c>
      <c r="W193" s="11" t="n"/>
      <c r="X193" s="12" t="n"/>
      <c r="Y193" s="11" t="n"/>
      <c r="Z193" s="11" t="inlineStr">
        <is>
          <t>gbp</t>
        </is>
      </c>
    </row>
    <row r="194">
      <c r="A194" s="8" t="inlineStr">
        <is>
          <t>aa328c9c-0b41-463b-84c6-e9c191953b08</t>
        </is>
      </c>
      <c r="B194" s="8" t="inlineStr">
        <is>
          <t>Krishna GD hairstyler</t>
        </is>
      </c>
      <c r="C194" s="23" t="n">
        <v>46129</v>
      </c>
      <c r="D194" s="8" t="inlineStr">
        <is>
          <t>2026-04</t>
        </is>
      </c>
      <c r="E194" s="8" t="b">
        <v>1</v>
      </c>
      <c r="F194" s="8" t="b">
        <v>1</v>
      </c>
      <c r="G194" s="8" t="b">
        <v>1</v>
      </c>
      <c r="H194" s="8" t="b">
        <v>1</v>
      </c>
      <c r="I194" s="8" t="b">
        <v>1</v>
      </c>
      <c r="J194" s="8" t="b">
        <v>0</v>
      </c>
      <c r="K194" s="8" t="b">
        <v>1</v>
      </c>
      <c r="L194" s="8" t="b">
        <v>1</v>
      </c>
      <c r="M194" s="8" t="b">
        <v>1</v>
      </c>
      <c r="N194" s="8" t="b">
        <v>1</v>
      </c>
      <c r="O194" s="8" t="n">
        <v>1</v>
      </c>
      <c r="P194" s="8" t="n">
        <v>1</v>
      </c>
      <c r="Q194" s="8" t="n">
        <v>0</v>
      </c>
      <c r="R194" s="8" t="n"/>
      <c r="S194" s="23" t="n">
        <v>46129</v>
      </c>
      <c r="T194" s="23" t="n">
        <v>46129</v>
      </c>
      <c r="U194" s="8" t="n">
        <v>0</v>
      </c>
      <c r="V194" s="9" t="n">
        <v>0</v>
      </c>
      <c r="W194" s="8" t="n"/>
      <c r="X194" s="9" t="n"/>
      <c r="Y194" s="8" t="n"/>
      <c r="Z194" s="8" t="inlineStr">
        <is>
          <t>gbp_logs</t>
        </is>
      </c>
    </row>
    <row r="195">
      <c r="A195" s="11" t="inlineStr">
        <is>
          <t>52a35418-3cfa-47ba-a975-75b14e81fe74</t>
        </is>
      </c>
      <c r="B195" s="11" t="inlineStr">
        <is>
          <t>American Braids &amp; Beauty</t>
        </is>
      </c>
      <c r="C195" s="24" t="n">
        <v>46133</v>
      </c>
      <c r="D195" s="11" t="inlineStr">
        <is>
          <t>2026-04</t>
        </is>
      </c>
      <c r="E195" s="11" t="b">
        <v>1</v>
      </c>
      <c r="F195" s="11" t="b">
        <v>1</v>
      </c>
      <c r="G195" s="11" t="b">
        <v>1</v>
      </c>
      <c r="H195" s="11" t="b">
        <v>1</v>
      </c>
      <c r="I195" s="11" t="b">
        <v>1</v>
      </c>
      <c r="J195" s="11" t="b">
        <v>1</v>
      </c>
      <c r="K195" s="11" t="b">
        <v>0</v>
      </c>
      <c r="L195" s="11" t="b">
        <v>1</v>
      </c>
      <c r="M195" s="11" t="b">
        <v>1</v>
      </c>
      <c r="N195" s="11" t="b">
        <v>1</v>
      </c>
      <c r="O195" s="11" t="n">
        <v>42</v>
      </c>
      <c r="P195" s="11" t="n">
        <v>42</v>
      </c>
      <c r="Q195" s="11" t="n">
        <v>0</v>
      </c>
      <c r="R195" s="11" t="n"/>
      <c r="S195" s="24" t="n">
        <v>46134</v>
      </c>
      <c r="T195" s="24" t="n">
        <v>46237</v>
      </c>
      <c r="U195" s="11" t="n">
        <v>45</v>
      </c>
      <c r="V195" s="12" t="n">
        <v>1975</v>
      </c>
      <c r="W195" s="11" t="inlineStr">
        <is>
          <t>AzZq5zV8DDPrQ2335</t>
        </is>
      </c>
      <c r="X195" s="12" t="n">
        <v>249</v>
      </c>
      <c r="Y195" s="11" t="inlineStr">
        <is>
          <t>active</t>
        </is>
      </c>
      <c r="Z195" s="11" t="inlineStr">
        <is>
          <t>gbp</t>
        </is>
      </c>
    </row>
    <row r="196">
      <c r="A196" s="8" t="inlineStr">
        <is>
          <t>04ed3c32-3215-461e-b5fe-98f636c32bdf</t>
        </is>
      </c>
      <c r="B196" s="8" t="inlineStr">
        <is>
          <t>Saxena spa</t>
        </is>
      </c>
      <c r="C196" s="23" t="n">
        <v>46134</v>
      </c>
      <c r="D196" s="8" t="inlineStr">
        <is>
          <t>2026-04</t>
        </is>
      </c>
      <c r="E196" s="8" t="b">
        <v>1</v>
      </c>
      <c r="F196" s="8" t="b">
        <v>1</v>
      </c>
      <c r="G196" s="8" t="b">
        <v>1</v>
      </c>
      <c r="H196" s="8" t="b">
        <v>1</v>
      </c>
      <c r="I196" s="8" t="b">
        <v>1</v>
      </c>
      <c r="J196" s="8" t="b">
        <v>0</v>
      </c>
      <c r="K196" s="8" t="b">
        <v>1</v>
      </c>
      <c r="L196" s="8" t="b">
        <v>1</v>
      </c>
      <c r="M196" s="8" t="b">
        <v>1</v>
      </c>
      <c r="N196" s="8" t="b">
        <v>1</v>
      </c>
      <c r="O196" s="8" t="n">
        <v>4</v>
      </c>
      <c r="P196" s="8" t="n">
        <v>1</v>
      </c>
      <c r="Q196" s="8" t="n">
        <v>0</v>
      </c>
      <c r="R196" s="8" t="n"/>
      <c r="S196" s="23" t="n">
        <v>46134</v>
      </c>
      <c r="T196" s="23" t="n">
        <v>46135</v>
      </c>
      <c r="U196" s="8" t="n">
        <v>3</v>
      </c>
      <c r="V196" s="9" t="n">
        <v>174</v>
      </c>
      <c r="W196" s="8" t="n"/>
      <c r="X196" s="9" t="n"/>
      <c r="Y196" s="8" t="n"/>
      <c r="Z196" s="8" t="inlineStr">
        <is>
          <t>gbp_logs</t>
        </is>
      </c>
    </row>
    <row r="197">
      <c r="A197" s="11" t="inlineStr">
        <is>
          <t>c867f830-c111-49c7-add6-b3bd303897b0</t>
        </is>
      </c>
      <c r="B197" s="11" t="inlineStr">
        <is>
          <t>Inner Bag Nail Spa</t>
        </is>
      </c>
      <c r="C197" s="24" t="n">
        <v>46134</v>
      </c>
      <c r="D197" s="11" t="inlineStr">
        <is>
          <t>2026-04</t>
        </is>
      </c>
      <c r="E197" s="11" t="b">
        <v>1</v>
      </c>
      <c r="F197" s="11" t="b">
        <v>1</v>
      </c>
      <c r="G197" s="11" t="b">
        <v>0</v>
      </c>
      <c r="H197" s="11" t="b">
        <v>0</v>
      </c>
      <c r="I197" s="11" t="b">
        <v>0</v>
      </c>
      <c r="J197" s="11" t="b">
        <v>0</v>
      </c>
      <c r="K197" s="11" t="b">
        <v>0</v>
      </c>
      <c r="L197" s="11" t="b">
        <v>0</v>
      </c>
      <c r="M197" s="11" t="b">
        <v>0</v>
      </c>
      <c r="N197" s="11" t="b">
        <v>0</v>
      </c>
      <c r="O197" s="11" t="n">
        <v>0</v>
      </c>
      <c r="P197" s="11" t="n">
        <v>0</v>
      </c>
      <c r="Q197" s="11" t="n">
        <v>0</v>
      </c>
      <c r="R197" s="11" t="n"/>
      <c r="S197" s="24" t="n"/>
      <c r="T197" s="24" t="n"/>
      <c r="U197" s="11" t="n">
        <v>0</v>
      </c>
      <c r="V197" s="12" t="n">
        <v>0</v>
      </c>
      <c r="W197" s="11" t="n"/>
      <c r="X197" s="12" t="n"/>
      <c r="Y197" s="11" t="n"/>
      <c r="Z197" s="11" t="inlineStr">
        <is>
          <t>gbp</t>
        </is>
      </c>
    </row>
    <row r="198">
      <c r="A198" s="8" t="inlineStr">
        <is>
          <t>10732fa0-d6b7-4dea-b720-b656a27e0784</t>
        </is>
      </c>
      <c r="B198" s="8" t="inlineStr">
        <is>
          <t>TIPTOPNAIL(Coyle Street)</t>
        </is>
      </c>
      <c r="C198" s="23" t="n">
        <v>46136</v>
      </c>
      <c r="D198" s="8" t="inlineStr">
        <is>
          <t>2026-04</t>
        </is>
      </c>
      <c r="E198" s="8" t="b">
        <v>1</v>
      </c>
      <c r="F198" s="8" t="b">
        <v>0</v>
      </c>
      <c r="G198" s="8" t="b">
        <v>0</v>
      </c>
      <c r="H198" s="8" t="b">
        <v>0</v>
      </c>
      <c r="I198" s="8" t="b">
        <v>0</v>
      </c>
      <c r="J198" s="8" t="b">
        <v>0</v>
      </c>
      <c r="K198" s="8" t="b">
        <v>0</v>
      </c>
      <c r="L198" s="8" t="b">
        <v>0</v>
      </c>
      <c r="M198" s="8" t="b">
        <v>0</v>
      </c>
      <c r="N198" s="8" t="b">
        <v>0</v>
      </c>
      <c r="O198" s="8" t="n">
        <v>0</v>
      </c>
      <c r="P198" s="8" t="n">
        <v>0</v>
      </c>
      <c r="Q198" s="8" t="n">
        <v>0</v>
      </c>
      <c r="R198" s="8" t="n"/>
      <c r="S198" s="23" t="n"/>
      <c r="T198" s="23" t="n"/>
      <c r="U198" s="8" t="n">
        <v>0</v>
      </c>
      <c r="V198" s="9" t="n">
        <v>0</v>
      </c>
      <c r="W198" s="8" t="inlineStr">
        <is>
          <t>AzZV8bVHcr9u613bx</t>
        </is>
      </c>
      <c r="X198" s="9" t="n"/>
      <c r="Y198" s="8" t="inlineStr">
        <is>
          <t>cancelled</t>
        </is>
      </c>
      <c r="Z198" s="8" t="inlineStr">
        <is>
          <t>gbp</t>
        </is>
      </c>
    </row>
    <row r="199">
      <c r="A199" s="11" t="inlineStr">
        <is>
          <t>6fb13e81-12ec-415d-aabb-f48f727cb2da</t>
        </is>
      </c>
      <c r="B199" s="33" t="inlineStr">
        <is>
          <t>(name not on file)</t>
        </is>
      </c>
      <c r="C199" s="24" t="n">
        <v>46136</v>
      </c>
      <c r="D199" s="11" t="inlineStr">
        <is>
          <t>2026-04</t>
        </is>
      </c>
      <c r="E199" s="11" t="b">
        <v>1</v>
      </c>
      <c r="F199" s="11" t="b">
        <v>1</v>
      </c>
      <c r="G199" s="11" t="b">
        <v>1</v>
      </c>
      <c r="H199" s="11" t="b">
        <v>1</v>
      </c>
      <c r="I199" s="11" t="b">
        <v>1</v>
      </c>
      <c r="J199" s="11" t="b">
        <v>0</v>
      </c>
      <c r="K199" s="11" t="b">
        <v>1</v>
      </c>
      <c r="L199" s="11" t="b">
        <v>1</v>
      </c>
      <c r="M199" s="11" t="b">
        <v>1</v>
      </c>
      <c r="N199" s="11" t="b">
        <v>1</v>
      </c>
      <c r="O199" s="11" t="n">
        <v>2</v>
      </c>
      <c r="P199" s="11" t="n">
        <v>0</v>
      </c>
      <c r="Q199" s="11" t="n">
        <v>0</v>
      </c>
      <c r="R199" s="11" t="n"/>
      <c r="S199" s="24" t="n">
        <v>46136</v>
      </c>
      <c r="T199" s="24" t="n">
        <v>46136</v>
      </c>
      <c r="U199" s="11" t="n">
        <v>0</v>
      </c>
      <c r="V199" s="12" t="n">
        <v>0</v>
      </c>
      <c r="W199" s="11" t="n"/>
      <c r="X199" s="12" t="n"/>
      <c r="Y199" s="11" t="n"/>
      <c r="Z199" s="11" t="inlineStr">
        <is>
          <t>unknown</t>
        </is>
      </c>
    </row>
    <row r="200">
      <c r="A200" s="8" t="inlineStr">
        <is>
          <t>9540d5b6-0278-4bf0-b50b-a3583f0d572d</t>
        </is>
      </c>
      <c r="B200" s="34" t="inlineStr">
        <is>
          <t>(name not on file)</t>
        </is>
      </c>
      <c r="C200" s="23" t="n">
        <v>46136</v>
      </c>
      <c r="D200" s="8" t="inlineStr">
        <is>
          <t>2026-04</t>
        </is>
      </c>
      <c r="E200" s="8" t="b">
        <v>1</v>
      </c>
      <c r="F200" s="8" t="b">
        <v>1</v>
      </c>
      <c r="G200" s="8" t="b">
        <v>1</v>
      </c>
      <c r="H200" s="8" t="b">
        <v>1</v>
      </c>
      <c r="I200" s="8" t="b">
        <v>1</v>
      </c>
      <c r="J200" s="8" t="b">
        <v>0</v>
      </c>
      <c r="K200" s="8" t="b">
        <v>1</v>
      </c>
      <c r="L200" s="8" t="b">
        <v>1</v>
      </c>
      <c r="M200" s="8" t="b">
        <v>1</v>
      </c>
      <c r="N200" s="8" t="b">
        <v>1</v>
      </c>
      <c r="O200" s="8" t="n">
        <v>0</v>
      </c>
      <c r="P200" s="8" t="n">
        <v>0</v>
      </c>
      <c r="Q200" s="8" t="n">
        <v>0</v>
      </c>
      <c r="R200" s="8" t="n"/>
      <c r="S200" s="23" t="n"/>
      <c r="T200" s="23" t="n"/>
      <c r="U200" s="8" t="n">
        <v>0</v>
      </c>
      <c r="V200" s="9" t="n">
        <v>0</v>
      </c>
      <c r="W200" s="8" t="n"/>
      <c r="X200" s="9" t="n"/>
      <c r="Y200" s="8" t="n"/>
      <c r="Z200" s="8" t="inlineStr">
        <is>
          <t>unknown</t>
        </is>
      </c>
    </row>
    <row r="201">
      <c r="A201" s="11" t="inlineStr">
        <is>
          <t>b72ca03c-b418-4540-930b-f88c26b6ebe4</t>
        </is>
      </c>
      <c r="B201" s="11" t="inlineStr">
        <is>
          <t>Alyssa's Eyelash</t>
        </is>
      </c>
      <c r="C201" s="24" t="n">
        <v>46136</v>
      </c>
      <c r="D201" s="11" t="inlineStr">
        <is>
          <t>2026-04</t>
        </is>
      </c>
      <c r="E201" s="11" t="b">
        <v>1</v>
      </c>
      <c r="F201" s="11" t="b">
        <v>1</v>
      </c>
      <c r="G201" s="11" t="b">
        <v>1</v>
      </c>
      <c r="H201" s="11" t="b">
        <v>1</v>
      </c>
      <c r="I201" s="11" t="b">
        <v>1</v>
      </c>
      <c r="J201" s="11" t="b">
        <v>0</v>
      </c>
      <c r="K201" s="11" t="b">
        <v>1</v>
      </c>
      <c r="L201" s="11" t="b">
        <v>1</v>
      </c>
      <c r="M201" s="11" t="b">
        <v>1</v>
      </c>
      <c r="N201" s="11" t="b">
        <v>1</v>
      </c>
      <c r="O201" s="11" t="n">
        <v>35</v>
      </c>
      <c r="P201" s="11" t="n">
        <v>35</v>
      </c>
      <c r="Q201" s="11" t="n">
        <v>0</v>
      </c>
      <c r="R201" s="11" t="n"/>
      <c r="S201" s="24" t="n">
        <v>46140</v>
      </c>
      <c r="T201" s="24" t="n">
        <v>46234</v>
      </c>
      <c r="U201" s="11" t="n">
        <v>0</v>
      </c>
      <c r="V201" s="12" t="n">
        <v>0</v>
      </c>
      <c r="W201" s="11" t="inlineStr">
        <is>
          <t>169mwoVHYOJhhXJi</t>
        </is>
      </c>
      <c r="X201" s="12" t="n">
        <v>250</v>
      </c>
      <c r="Y201" s="11" t="inlineStr">
        <is>
          <t>active</t>
        </is>
      </c>
      <c r="Z201" s="11" t="inlineStr">
        <is>
          <t>gbp</t>
        </is>
      </c>
    </row>
    <row r="202">
      <c r="A202" s="8" t="inlineStr">
        <is>
          <t>23fcadf5-3d4f-4cfb-8431-439180d0c195</t>
        </is>
      </c>
      <c r="B202" s="34" t="inlineStr">
        <is>
          <t>(name not on file)</t>
        </is>
      </c>
      <c r="C202" s="23" t="n">
        <v>46136</v>
      </c>
      <c r="D202" s="8" t="inlineStr">
        <is>
          <t>2026-04</t>
        </is>
      </c>
      <c r="E202" s="8" t="b">
        <v>1</v>
      </c>
      <c r="F202" s="8" t="b">
        <v>1</v>
      </c>
      <c r="G202" s="8" t="b">
        <v>1</v>
      </c>
      <c r="H202" s="8" t="b">
        <v>1</v>
      </c>
      <c r="I202" s="8" t="b">
        <v>1</v>
      </c>
      <c r="J202" s="8" t="b">
        <v>0</v>
      </c>
      <c r="K202" s="8" t="b">
        <v>1</v>
      </c>
      <c r="L202" s="8" t="b">
        <v>1</v>
      </c>
      <c r="M202" s="8" t="b">
        <v>1</v>
      </c>
      <c r="N202" s="8" t="b">
        <v>1</v>
      </c>
      <c r="O202" s="8" t="n">
        <v>1</v>
      </c>
      <c r="P202" s="8" t="n">
        <v>1</v>
      </c>
      <c r="Q202" s="8" t="n">
        <v>0</v>
      </c>
      <c r="R202" s="8" t="n"/>
      <c r="S202" s="23" t="n">
        <v>46136</v>
      </c>
      <c r="T202" s="23" t="n">
        <v>46136</v>
      </c>
      <c r="U202" s="8" t="n">
        <v>0</v>
      </c>
      <c r="V202" s="9" t="n">
        <v>0</v>
      </c>
      <c r="W202" s="8" t="n"/>
      <c r="X202" s="9" t="n"/>
      <c r="Y202" s="8" t="n"/>
      <c r="Z202" s="8" t="inlineStr">
        <is>
          <t>unknown</t>
        </is>
      </c>
    </row>
    <row r="203">
      <c r="A203" s="11" t="inlineStr">
        <is>
          <t>aa9dacf1-ce81-4a68-ba98-b2e2d5206df4</t>
        </is>
      </c>
      <c r="B203" s="11" t="inlineStr">
        <is>
          <t>SHADDAI BARBERSHOP AND BEAUTY SALON</t>
        </is>
      </c>
      <c r="C203" s="24" t="n">
        <v>46139</v>
      </c>
      <c r="D203" s="11" t="inlineStr">
        <is>
          <t>2026-04</t>
        </is>
      </c>
      <c r="E203" s="11" t="b">
        <v>1</v>
      </c>
      <c r="F203" s="11" t="b">
        <v>1</v>
      </c>
      <c r="G203" s="11" t="b">
        <v>1</v>
      </c>
      <c r="H203" s="11" t="b">
        <v>1</v>
      </c>
      <c r="I203" s="11" t="b">
        <v>1</v>
      </c>
      <c r="J203" s="11" t="b">
        <v>0</v>
      </c>
      <c r="K203" s="11" t="b">
        <v>0</v>
      </c>
      <c r="L203" s="11" t="b">
        <v>0</v>
      </c>
      <c r="M203" s="11" t="b">
        <v>0</v>
      </c>
      <c r="N203" s="11" t="b">
        <v>0</v>
      </c>
      <c r="O203" s="11" t="n">
        <v>0</v>
      </c>
      <c r="P203" s="11" t="n">
        <v>0</v>
      </c>
      <c r="Q203" s="11" t="n">
        <v>0</v>
      </c>
      <c r="R203" s="11" t="n"/>
      <c r="S203" s="24" t="n"/>
      <c r="T203" s="24" t="n"/>
      <c r="U203" s="11" t="n">
        <v>0</v>
      </c>
      <c r="V203" s="12" t="n">
        <v>0</v>
      </c>
      <c r="W203" s="11" t="inlineStr">
        <is>
          <t>16BPh5V5JanKR5EAU</t>
        </is>
      </c>
      <c r="X203" s="12" t="n"/>
      <c r="Y203" s="11" t="inlineStr">
        <is>
          <t>cancelled</t>
        </is>
      </c>
      <c r="Z203" s="11" t="inlineStr">
        <is>
          <t>gbp</t>
        </is>
      </c>
    </row>
    <row r="204">
      <c r="A204" s="8" t="inlineStr">
        <is>
          <t>434295e9-2e31-4490-b218-c6afdb495cd7</t>
        </is>
      </c>
      <c r="B204" s="8" t="inlineStr">
        <is>
          <t>Lineth balza skin care &amp; massage</t>
        </is>
      </c>
      <c r="C204" s="23" t="n">
        <v>46140</v>
      </c>
      <c r="D204" s="8" t="inlineStr">
        <is>
          <t>2026-04</t>
        </is>
      </c>
      <c r="E204" s="8" t="b">
        <v>1</v>
      </c>
      <c r="F204" s="8" t="b">
        <v>1</v>
      </c>
      <c r="G204" s="8" t="b">
        <v>0</v>
      </c>
      <c r="H204" s="8" t="b">
        <v>0</v>
      </c>
      <c r="I204" s="8" t="b">
        <v>0</v>
      </c>
      <c r="J204" s="8" t="b">
        <v>0</v>
      </c>
      <c r="K204" s="8" t="b">
        <v>0</v>
      </c>
      <c r="L204" s="8" t="b">
        <v>0</v>
      </c>
      <c r="M204" s="8" t="b">
        <v>0</v>
      </c>
      <c r="N204" s="8" t="b">
        <v>0</v>
      </c>
      <c r="O204" s="8" t="n">
        <v>0</v>
      </c>
      <c r="P204" s="8" t="n">
        <v>0</v>
      </c>
      <c r="Q204" s="8" t="n">
        <v>0</v>
      </c>
      <c r="R204" s="8" t="n"/>
      <c r="S204" s="23" t="n"/>
      <c r="T204" s="23" t="n"/>
      <c r="U204" s="8" t="n">
        <v>0</v>
      </c>
      <c r="V204" s="9" t="n">
        <v>0</v>
      </c>
      <c r="W204" s="8" t="n"/>
      <c r="X204" s="9" t="n"/>
      <c r="Y204" s="8" t="n"/>
      <c r="Z204" s="8" t="inlineStr">
        <is>
          <t>gbp</t>
        </is>
      </c>
    </row>
    <row r="205">
      <c r="A205" s="11" t="inlineStr">
        <is>
          <t>c83d32ef-05e6-49c5-b02d-4734f2b6d945</t>
        </is>
      </c>
      <c r="B205" s="11" t="inlineStr">
        <is>
          <t>Saxena spa</t>
        </is>
      </c>
      <c r="C205" s="24" t="n">
        <v>46141</v>
      </c>
      <c r="D205" s="11" t="inlineStr">
        <is>
          <t>2026-04</t>
        </is>
      </c>
      <c r="E205" s="11" t="b">
        <v>1</v>
      </c>
      <c r="F205" s="11" t="b">
        <v>1</v>
      </c>
      <c r="G205" s="11" t="b">
        <v>0</v>
      </c>
      <c r="H205" s="11" t="b">
        <v>0</v>
      </c>
      <c r="I205" s="11" t="b">
        <v>0</v>
      </c>
      <c r="J205" s="11" t="b">
        <v>0</v>
      </c>
      <c r="K205" s="11" t="b">
        <v>0</v>
      </c>
      <c r="L205" s="11" t="b">
        <v>0</v>
      </c>
      <c r="M205" s="11" t="b">
        <v>0</v>
      </c>
      <c r="N205" s="11" t="b">
        <v>0</v>
      </c>
      <c r="O205" s="11" t="n">
        <v>0</v>
      </c>
      <c r="P205" s="11" t="n">
        <v>0</v>
      </c>
      <c r="Q205" s="11" t="n">
        <v>0</v>
      </c>
      <c r="R205" s="11" t="n"/>
      <c r="S205" s="24" t="n"/>
      <c r="T205" s="24" t="n"/>
      <c r="U205" s="11" t="n">
        <v>0</v>
      </c>
      <c r="V205" s="12" t="n">
        <v>0</v>
      </c>
      <c r="W205" s="11" t="n"/>
      <c r="X205" s="12" t="n"/>
      <c r="Y205" s="11" t="n"/>
      <c r="Z205" s="11" t="inlineStr">
        <is>
          <t>gbp_logs</t>
        </is>
      </c>
    </row>
    <row r="206">
      <c r="A206" s="8" t="inlineStr">
        <is>
          <t>2af11d36-08db-4b9f-9bd1-c20dbbdf1dc4</t>
        </is>
      </c>
      <c r="B206" s="8" t="inlineStr">
        <is>
          <t>Saxena spa</t>
        </is>
      </c>
      <c r="C206" s="23" t="n">
        <v>46141</v>
      </c>
      <c r="D206" s="8" t="inlineStr">
        <is>
          <t>2026-04</t>
        </is>
      </c>
      <c r="E206" s="8" t="b">
        <v>1</v>
      </c>
      <c r="F206" s="8" t="b">
        <v>1</v>
      </c>
      <c r="G206" s="8" t="b">
        <v>1</v>
      </c>
      <c r="H206" s="8" t="b">
        <v>1</v>
      </c>
      <c r="I206" s="8" t="b">
        <v>1</v>
      </c>
      <c r="J206" s="8" t="b">
        <v>0</v>
      </c>
      <c r="K206" s="8" t="b">
        <v>1</v>
      </c>
      <c r="L206" s="8" t="b">
        <v>1</v>
      </c>
      <c r="M206" s="8" t="b">
        <v>1</v>
      </c>
      <c r="N206" s="8" t="b">
        <v>1</v>
      </c>
      <c r="O206" s="8" t="n">
        <v>47</v>
      </c>
      <c r="P206" s="8" t="n">
        <v>25</v>
      </c>
      <c r="Q206" s="8" t="n">
        <v>0</v>
      </c>
      <c r="R206" s="8" t="n"/>
      <c r="S206" s="23" t="n">
        <v>46141</v>
      </c>
      <c r="T206" s="23" t="n">
        <v>46142</v>
      </c>
      <c r="U206" s="8" t="n">
        <v>8</v>
      </c>
      <c r="V206" s="9" t="n">
        <v>4571</v>
      </c>
      <c r="W206" s="8" t="n"/>
      <c r="X206" s="9" t="n"/>
      <c r="Y206" s="8" t="n"/>
      <c r="Z206" s="8" t="inlineStr">
        <is>
          <t>gbp_logs</t>
        </is>
      </c>
    </row>
    <row r="207">
      <c r="A207" s="11" t="inlineStr">
        <is>
          <t>58faf27e-4956-451e-b350-76d5b622cd27</t>
        </is>
      </c>
      <c r="B207" s="33" t="inlineStr">
        <is>
          <t>(name not on file)</t>
        </is>
      </c>
      <c r="C207" s="24" t="n">
        <v>46141</v>
      </c>
      <c r="D207" s="11" t="inlineStr">
        <is>
          <t>2026-04</t>
        </is>
      </c>
      <c r="E207" s="11" t="b">
        <v>1</v>
      </c>
      <c r="F207" s="11" t="b">
        <v>1</v>
      </c>
      <c r="G207" s="11" t="b">
        <v>1</v>
      </c>
      <c r="H207" s="11" t="b">
        <v>1</v>
      </c>
      <c r="I207" s="11" t="b">
        <v>1</v>
      </c>
      <c r="J207" s="11" t="b">
        <v>0</v>
      </c>
      <c r="K207" s="11" t="b">
        <v>1</v>
      </c>
      <c r="L207" s="11" t="b">
        <v>1</v>
      </c>
      <c r="M207" s="11" t="b">
        <v>1</v>
      </c>
      <c r="N207" s="11" t="b">
        <v>1</v>
      </c>
      <c r="O207" s="11" t="n">
        <v>11</v>
      </c>
      <c r="P207" s="11" t="n">
        <v>4</v>
      </c>
      <c r="Q207" s="11" t="n">
        <v>0</v>
      </c>
      <c r="R207" s="11" t="n"/>
      <c r="S207" s="24" t="n">
        <v>46142</v>
      </c>
      <c r="T207" s="24" t="n">
        <v>46142</v>
      </c>
      <c r="U207" s="11" t="n">
        <v>4</v>
      </c>
      <c r="V207" s="12" t="n">
        <v>136.5</v>
      </c>
      <c r="W207" s="11" t="n"/>
      <c r="X207" s="12" t="n"/>
      <c r="Y207" s="11" t="n"/>
      <c r="Z207" s="11" t="inlineStr">
        <is>
          <t>unknown</t>
        </is>
      </c>
    </row>
    <row r="208">
      <c r="A208" s="8" t="inlineStr">
        <is>
          <t>238dfc21-94d8-429d-a3dd-47eac6da0717</t>
        </is>
      </c>
      <c r="B208" s="8" t="inlineStr">
        <is>
          <t>Shine Salon &amp; Spa</t>
        </is>
      </c>
      <c r="C208" s="23" t="n">
        <v>46146</v>
      </c>
      <c r="D208" s="8" t="inlineStr">
        <is>
          <t>2026-05</t>
        </is>
      </c>
      <c r="E208" s="8" t="b">
        <v>1</v>
      </c>
      <c r="F208" s="8" t="b">
        <v>1</v>
      </c>
      <c r="G208" s="8" t="b">
        <v>1</v>
      </c>
      <c r="H208" s="8" t="b">
        <v>1</v>
      </c>
      <c r="I208" s="8" t="b">
        <v>1</v>
      </c>
      <c r="J208" s="8" t="b">
        <v>1</v>
      </c>
      <c r="K208" s="8" t="b">
        <v>0</v>
      </c>
      <c r="L208" s="8" t="b">
        <v>1</v>
      </c>
      <c r="M208" s="8" t="b">
        <v>1</v>
      </c>
      <c r="N208" s="8" t="b">
        <v>1</v>
      </c>
      <c r="O208" s="8" t="n">
        <v>6</v>
      </c>
      <c r="P208" s="8" t="n">
        <v>1</v>
      </c>
      <c r="Q208" s="8" t="n">
        <v>0</v>
      </c>
      <c r="R208" s="8" t="n"/>
      <c r="S208" s="23" t="n">
        <v>46147</v>
      </c>
      <c r="T208" s="23" t="n">
        <v>46213</v>
      </c>
      <c r="U208" s="8" t="n">
        <v>0</v>
      </c>
      <c r="V208" s="9" t="n">
        <v>0</v>
      </c>
      <c r="W208" s="8" t="n"/>
      <c r="X208" s="9" t="n"/>
      <c r="Y208" s="8" t="n"/>
      <c r="Z208" s="8" t="inlineStr">
        <is>
          <t>gbp</t>
        </is>
      </c>
    </row>
    <row r="209">
      <c r="A209" s="11" t="inlineStr">
        <is>
          <t>a6b10fb8-1c58-4e2f-880b-a47be70159a7</t>
        </is>
      </c>
      <c r="B209" s="11" t="inlineStr">
        <is>
          <t>Bajaj Day Spa</t>
        </is>
      </c>
      <c r="C209" s="24" t="n">
        <v>46146</v>
      </c>
      <c r="D209" s="11" t="inlineStr">
        <is>
          <t>2026-05</t>
        </is>
      </c>
      <c r="E209" s="11" t="b">
        <v>1</v>
      </c>
      <c r="F209" s="11" t="b">
        <v>1</v>
      </c>
      <c r="G209" s="11" t="b">
        <v>1</v>
      </c>
      <c r="H209" s="11" t="b">
        <v>1</v>
      </c>
      <c r="I209" s="11" t="b">
        <v>1</v>
      </c>
      <c r="J209" s="11" t="b">
        <v>1</v>
      </c>
      <c r="K209" s="11" t="b">
        <v>0</v>
      </c>
      <c r="L209" s="11" t="b">
        <v>1</v>
      </c>
      <c r="M209" s="11" t="b">
        <v>1</v>
      </c>
      <c r="N209" s="11" t="b">
        <v>1</v>
      </c>
      <c r="O209" s="11" t="n">
        <v>3</v>
      </c>
      <c r="P209" s="11" t="n">
        <v>0</v>
      </c>
      <c r="Q209" s="11" t="n">
        <v>0</v>
      </c>
      <c r="R209" s="11" t="n"/>
      <c r="S209" s="24" t="n">
        <v>46146</v>
      </c>
      <c r="T209" s="24" t="n">
        <v>46146</v>
      </c>
      <c r="U209" s="11" t="n">
        <v>1</v>
      </c>
      <c r="V209" s="12" t="n">
        <v>0.5</v>
      </c>
      <c r="W209" s="11" t="n"/>
      <c r="X209" s="12" t="n"/>
      <c r="Y209" s="11" t="n"/>
      <c r="Z209" s="11" t="inlineStr">
        <is>
          <t>gbp</t>
        </is>
      </c>
    </row>
    <row r="210">
      <c r="A210" s="8" t="inlineStr">
        <is>
          <t>5368d383-9bef-4120-a0dd-2fcf457d8e33</t>
        </is>
      </c>
      <c r="B210" s="34" t="inlineStr">
        <is>
          <t>(name not on file)</t>
        </is>
      </c>
      <c r="C210" s="23" t="n">
        <v>46146</v>
      </c>
      <c r="D210" s="8" t="inlineStr">
        <is>
          <t>2026-05</t>
        </is>
      </c>
      <c r="E210" s="8" t="b">
        <v>1</v>
      </c>
      <c r="F210" s="8" t="b">
        <v>1</v>
      </c>
      <c r="G210" s="8" t="b">
        <v>1</v>
      </c>
      <c r="H210" s="8" t="b">
        <v>1</v>
      </c>
      <c r="I210" s="8" t="b">
        <v>1</v>
      </c>
      <c r="J210" s="8" t="b">
        <v>0</v>
      </c>
      <c r="K210" s="8" t="b">
        <v>1</v>
      </c>
      <c r="L210" s="8" t="b">
        <v>1</v>
      </c>
      <c r="M210" s="8" t="b">
        <v>1</v>
      </c>
      <c r="N210" s="8" t="b">
        <v>1</v>
      </c>
      <c r="O210" s="8" t="n">
        <v>0</v>
      </c>
      <c r="P210" s="8" t="n">
        <v>0</v>
      </c>
      <c r="Q210" s="8" t="n">
        <v>0</v>
      </c>
      <c r="R210" s="8" t="n"/>
      <c r="S210" s="23" t="n"/>
      <c r="T210" s="23" t="n"/>
      <c r="U210" s="8" t="n">
        <v>0</v>
      </c>
      <c r="V210" s="9" t="n">
        <v>0</v>
      </c>
      <c r="W210" s="8" t="n"/>
      <c r="X210" s="9" t="n"/>
      <c r="Y210" s="8" t="n"/>
      <c r="Z210" s="8" t="inlineStr">
        <is>
          <t>unknown</t>
        </is>
      </c>
    </row>
    <row r="211">
      <c r="A211" s="11" t="inlineStr">
        <is>
          <t>40c8d6c1-176d-4272-93e8-25bc9003a5b9</t>
        </is>
      </c>
      <c r="B211" s="33" t="inlineStr">
        <is>
          <t>(name not on file)</t>
        </is>
      </c>
      <c r="C211" s="24" t="n">
        <v>46146</v>
      </c>
      <c r="D211" s="11" t="inlineStr">
        <is>
          <t>2026-05</t>
        </is>
      </c>
      <c r="E211" s="11" t="b">
        <v>1</v>
      </c>
      <c r="F211" s="11" t="b">
        <v>1</v>
      </c>
      <c r="G211" s="11" t="b">
        <v>1</v>
      </c>
      <c r="H211" s="11" t="b">
        <v>1</v>
      </c>
      <c r="I211" s="11" t="b">
        <v>1</v>
      </c>
      <c r="J211" s="11" t="b">
        <v>1</v>
      </c>
      <c r="K211" s="11" t="b">
        <v>0</v>
      </c>
      <c r="L211" s="11" t="b">
        <v>1</v>
      </c>
      <c r="M211" s="11" t="b">
        <v>1</v>
      </c>
      <c r="N211" s="11" t="b">
        <v>1</v>
      </c>
      <c r="O211" s="11" t="n">
        <v>4</v>
      </c>
      <c r="P211" s="11" t="n">
        <v>0</v>
      </c>
      <c r="Q211" s="11" t="n">
        <v>0</v>
      </c>
      <c r="R211" s="11" t="n"/>
      <c r="S211" s="24" t="n">
        <v>46146</v>
      </c>
      <c r="T211" s="24" t="n">
        <v>46146</v>
      </c>
      <c r="U211" s="11" t="n">
        <v>1</v>
      </c>
      <c r="V211" s="12" t="n">
        <v>1</v>
      </c>
      <c r="W211" s="11" t="n"/>
      <c r="X211" s="12" t="n"/>
      <c r="Y211" s="11" t="n"/>
      <c r="Z211" s="11" t="inlineStr">
        <is>
          <t>unknown</t>
        </is>
      </c>
    </row>
    <row r="212">
      <c r="A212" s="8" t="inlineStr">
        <is>
          <t>6e29f2a1-f4b4-4502-b166-3be03192fd0e</t>
        </is>
      </c>
      <c r="B212" s="8" t="inlineStr">
        <is>
          <t>Eclipse Body Sculpting Studio</t>
        </is>
      </c>
      <c r="C212" s="23" t="n">
        <v>46146</v>
      </c>
      <c r="D212" s="8" t="inlineStr">
        <is>
          <t>2026-05</t>
        </is>
      </c>
      <c r="E212" s="8" t="b">
        <v>1</v>
      </c>
      <c r="F212" s="8" t="b">
        <v>1</v>
      </c>
      <c r="G212" s="8" t="b">
        <v>1</v>
      </c>
      <c r="H212" s="8" t="b">
        <v>1</v>
      </c>
      <c r="I212" s="8" t="b">
        <v>1</v>
      </c>
      <c r="J212" s="8" t="b">
        <v>0</v>
      </c>
      <c r="K212" s="8" t="b">
        <v>1</v>
      </c>
      <c r="L212" s="8" t="b">
        <v>1</v>
      </c>
      <c r="M212" s="8" t="b">
        <v>1</v>
      </c>
      <c r="N212" s="8" t="b">
        <v>1</v>
      </c>
      <c r="O212" s="8" t="n">
        <v>14</v>
      </c>
      <c r="P212" s="8" t="n">
        <v>12</v>
      </c>
      <c r="Q212" s="8" t="n">
        <v>0</v>
      </c>
      <c r="R212" s="8" t="n"/>
      <c r="S212" s="23" t="n">
        <v>46146</v>
      </c>
      <c r="T212" s="23" t="n">
        <v>46228</v>
      </c>
      <c r="U212" s="8" t="n">
        <v>0</v>
      </c>
      <c r="V212" s="9" t="n">
        <v>0</v>
      </c>
      <c r="W212" s="8" t="inlineStr">
        <is>
          <t>cus_R0pWX1TjkTJs1x</t>
        </is>
      </c>
      <c r="X212" s="9" t="n">
        <v>500</v>
      </c>
      <c r="Y212" s="8" t="inlineStr">
        <is>
          <t>active</t>
        </is>
      </c>
      <c r="Z212" s="8" t="inlineStr">
        <is>
          <t>gbp</t>
        </is>
      </c>
    </row>
    <row r="213">
      <c r="A213" s="11" t="inlineStr">
        <is>
          <t>ba40b84a-7e6c-48fb-8e40-32c83461eec0</t>
        </is>
      </c>
      <c r="B213" s="11" t="inlineStr">
        <is>
          <t>Saxena spa</t>
        </is>
      </c>
      <c r="C213" s="24" t="n">
        <v>46147</v>
      </c>
      <c r="D213" s="11" t="inlineStr">
        <is>
          <t>2026-05</t>
        </is>
      </c>
      <c r="E213" s="11" t="b">
        <v>1</v>
      </c>
      <c r="F213" s="11" t="b">
        <v>1</v>
      </c>
      <c r="G213" s="11" t="b">
        <v>1</v>
      </c>
      <c r="H213" s="11" t="b">
        <v>1</v>
      </c>
      <c r="I213" s="11" t="b">
        <v>1</v>
      </c>
      <c r="J213" s="11" t="b">
        <v>0</v>
      </c>
      <c r="K213" s="11" t="b">
        <v>1</v>
      </c>
      <c r="L213" s="11" t="b">
        <v>1</v>
      </c>
      <c r="M213" s="11" t="b">
        <v>1</v>
      </c>
      <c r="N213" s="11" t="b">
        <v>1</v>
      </c>
      <c r="O213" s="11" t="n">
        <v>5</v>
      </c>
      <c r="P213" s="11" t="n">
        <v>4</v>
      </c>
      <c r="Q213" s="11" t="n">
        <v>0</v>
      </c>
      <c r="R213" s="11" t="n"/>
      <c r="S213" s="24" t="n">
        <v>46147</v>
      </c>
      <c r="T213" s="24" t="n">
        <v>46147</v>
      </c>
      <c r="U213" s="11" t="n">
        <v>1</v>
      </c>
      <c r="V213" s="12" t="n">
        <v>58</v>
      </c>
      <c r="W213" s="11" t="n"/>
      <c r="X213" s="12" t="n"/>
      <c r="Y213" s="11" t="n"/>
      <c r="Z213" s="11" t="inlineStr">
        <is>
          <t>gbp_logs</t>
        </is>
      </c>
    </row>
    <row r="214">
      <c r="A214" s="8" t="inlineStr">
        <is>
          <t>3074792b-7363-4759-9c3a-fd233024d0b1</t>
        </is>
      </c>
      <c r="B214" s="8" t="inlineStr">
        <is>
          <t>Nancy Nail Spa</t>
        </is>
      </c>
      <c r="C214" s="23" t="n">
        <v>46147</v>
      </c>
      <c r="D214" s="8" t="inlineStr">
        <is>
          <t>2026-05</t>
        </is>
      </c>
      <c r="E214" s="8" t="b">
        <v>1</v>
      </c>
      <c r="F214" s="8" t="b">
        <v>1</v>
      </c>
      <c r="G214" s="8" t="b">
        <v>1</v>
      </c>
      <c r="H214" s="8" t="b">
        <v>1</v>
      </c>
      <c r="I214" s="8" t="b">
        <v>1</v>
      </c>
      <c r="J214" s="8" t="b">
        <v>0</v>
      </c>
      <c r="K214" s="8" t="b">
        <v>1</v>
      </c>
      <c r="L214" s="8" t="b">
        <v>1</v>
      </c>
      <c r="M214" s="8" t="b">
        <v>1</v>
      </c>
      <c r="N214" s="8" t="b">
        <v>1</v>
      </c>
      <c r="O214" s="8" t="n">
        <v>14</v>
      </c>
      <c r="P214" s="8" t="n">
        <v>4</v>
      </c>
      <c r="Q214" s="8" t="n">
        <v>0</v>
      </c>
      <c r="R214" s="8" t="n"/>
      <c r="S214" s="23" t="n">
        <v>46157</v>
      </c>
      <c r="T214" s="23" t="n">
        <v>46232</v>
      </c>
      <c r="U214" s="8" t="n">
        <v>1</v>
      </c>
      <c r="V214" s="9" t="n">
        <v>201</v>
      </c>
      <c r="W214" s="8" t="n"/>
      <c r="X214" s="9" t="n"/>
      <c r="Y214" s="8" t="n"/>
      <c r="Z214" s="8" t="inlineStr">
        <is>
          <t>gbp</t>
        </is>
      </c>
    </row>
    <row r="215">
      <c r="A215" s="11" t="inlineStr">
        <is>
          <t>9e310fdd-2a88-4492-b865-df1f6b28fff6</t>
        </is>
      </c>
      <c r="B215" s="11" t="inlineStr">
        <is>
          <t>Saxena spa</t>
        </is>
      </c>
      <c r="C215" s="24" t="n">
        <v>46147</v>
      </c>
      <c r="D215" s="11" t="inlineStr">
        <is>
          <t>2026-05</t>
        </is>
      </c>
      <c r="E215" s="11" t="b">
        <v>1</v>
      </c>
      <c r="F215" s="11" t="b">
        <v>1</v>
      </c>
      <c r="G215" s="11" t="b">
        <v>1</v>
      </c>
      <c r="H215" s="11" t="b">
        <v>1</v>
      </c>
      <c r="I215" s="11" t="b">
        <v>1</v>
      </c>
      <c r="J215" s="11" t="b">
        <v>0</v>
      </c>
      <c r="K215" s="11" t="b">
        <v>1</v>
      </c>
      <c r="L215" s="11" t="b">
        <v>1</v>
      </c>
      <c r="M215" s="11" t="b">
        <v>1</v>
      </c>
      <c r="N215" s="11" t="b">
        <v>1</v>
      </c>
      <c r="O215" s="11" t="n">
        <v>2</v>
      </c>
      <c r="P215" s="11" t="n">
        <v>0</v>
      </c>
      <c r="Q215" s="11" t="n">
        <v>0</v>
      </c>
      <c r="R215" s="11" t="n"/>
      <c r="S215" s="24" t="n">
        <v>46147</v>
      </c>
      <c r="T215" s="24" t="n">
        <v>46147</v>
      </c>
      <c r="U215" s="11" t="n">
        <v>1</v>
      </c>
      <c r="V215" s="12" t="n">
        <v>241.3</v>
      </c>
      <c r="W215" s="11" t="n"/>
      <c r="X215" s="12" t="n"/>
      <c r="Y215" s="11" t="n"/>
      <c r="Z215" s="11" t="inlineStr">
        <is>
          <t>gbp_logs</t>
        </is>
      </c>
    </row>
    <row r="216">
      <c r="A216" s="8" t="inlineStr">
        <is>
          <t>30405f2d-cdef-4ad7-bb11-d10b6589c81e</t>
        </is>
      </c>
      <c r="B216" s="8" t="inlineStr">
        <is>
          <t>NEW AGE Permanent Make-up</t>
        </is>
      </c>
      <c r="C216" s="23" t="n">
        <v>46147</v>
      </c>
      <c r="D216" s="8" t="inlineStr">
        <is>
          <t>2026-05</t>
        </is>
      </c>
      <c r="E216" s="8" t="b">
        <v>1</v>
      </c>
      <c r="F216" s="8" t="b">
        <v>0</v>
      </c>
      <c r="G216" s="8" t="b">
        <v>0</v>
      </c>
      <c r="H216" s="8" t="b">
        <v>0</v>
      </c>
      <c r="I216" s="8" t="b">
        <v>0</v>
      </c>
      <c r="J216" s="8" t="b">
        <v>0</v>
      </c>
      <c r="K216" s="8" t="b">
        <v>0</v>
      </c>
      <c r="L216" s="8" t="b">
        <v>0</v>
      </c>
      <c r="M216" s="8" t="b">
        <v>0</v>
      </c>
      <c r="N216" s="8" t="b">
        <v>0</v>
      </c>
      <c r="O216" s="8" t="n">
        <v>0</v>
      </c>
      <c r="P216" s="8" t="n">
        <v>0</v>
      </c>
      <c r="Q216" s="8" t="n">
        <v>0</v>
      </c>
      <c r="R216" s="8" t="n"/>
      <c r="S216" s="23" t="n"/>
      <c r="T216" s="23" t="n"/>
      <c r="U216" s="8" t="n">
        <v>0</v>
      </c>
      <c r="V216" s="9" t="n">
        <v>0</v>
      </c>
      <c r="W216" s="8" t="inlineStr">
        <is>
          <t>AzZkLCVAV2Uu57oJ9</t>
        </is>
      </c>
      <c r="X216" s="9" t="n"/>
      <c r="Y216" s="8" t="inlineStr">
        <is>
          <t>cancelled</t>
        </is>
      </c>
      <c r="Z216" s="8" t="inlineStr">
        <is>
          <t>gbp</t>
        </is>
      </c>
    </row>
    <row r="217">
      <c r="A217" s="11" t="inlineStr">
        <is>
          <t>a4952e5b-671a-48ae-9640-38392bba7cb9</t>
        </is>
      </c>
      <c r="B217" s="11" t="inlineStr">
        <is>
          <t>Saxena spa</t>
        </is>
      </c>
      <c r="C217" s="24" t="n">
        <v>46148</v>
      </c>
      <c r="D217" s="11" t="inlineStr">
        <is>
          <t>2026-05</t>
        </is>
      </c>
      <c r="E217" s="11" t="b">
        <v>1</v>
      </c>
      <c r="F217" s="11" t="b">
        <v>1</v>
      </c>
      <c r="G217" s="11" t="b">
        <v>1</v>
      </c>
      <c r="H217" s="11" t="b">
        <v>1</v>
      </c>
      <c r="I217" s="11" t="b">
        <v>1</v>
      </c>
      <c r="J217" s="11" t="b">
        <v>0</v>
      </c>
      <c r="K217" s="11" t="b">
        <v>1</v>
      </c>
      <c r="L217" s="11" t="b">
        <v>1</v>
      </c>
      <c r="M217" s="11" t="b">
        <v>1</v>
      </c>
      <c r="N217" s="11" t="b">
        <v>1</v>
      </c>
      <c r="O217" s="11" t="n">
        <v>5</v>
      </c>
      <c r="P217" s="11" t="n">
        <v>0</v>
      </c>
      <c r="Q217" s="11" t="n">
        <v>0</v>
      </c>
      <c r="R217" s="11" t="n"/>
      <c r="S217" s="24" t="n">
        <v>46148</v>
      </c>
      <c r="T217" s="24" t="n">
        <v>46148</v>
      </c>
      <c r="U217" s="11" t="n">
        <v>2</v>
      </c>
      <c r="V217" s="12" t="n">
        <v>370</v>
      </c>
      <c r="W217" s="11" t="n"/>
      <c r="X217" s="12" t="n"/>
      <c r="Y217" s="11" t="n"/>
      <c r="Z217" s="11" t="inlineStr">
        <is>
          <t>gbp_logs</t>
        </is>
      </c>
    </row>
    <row r="218">
      <c r="A218" s="8" t="inlineStr">
        <is>
          <t>f6c98982-35ef-41db-ab11-e071f5b4cee4</t>
        </is>
      </c>
      <c r="B218" s="8" t="inlineStr">
        <is>
          <t>Bob consultancy</t>
        </is>
      </c>
      <c r="C218" s="23" t="n">
        <v>46148</v>
      </c>
      <c r="D218" s="8" t="inlineStr">
        <is>
          <t>2026-05</t>
        </is>
      </c>
      <c r="E218" s="8" t="b">
        <v>1</v>
      </c>
      <c r="F218" s="8" t="b">
        <v>1</v>
      </c>
      <c r="G218" s="8" t="b">
        <v>0</v>
      </c>
      <c r="H218" s="8" t="b">
        <v>0</v>
      </c>
      <c r="I218" s="8" t="b">
        <v>0</v>
      </c>
      <c r="J218" s="8" t="b">
        <v>0</v>
      </c>
      <c r="K218" s="8" t="b">
        <v>0</v>
      </c>
      <c r="L218" s="8" t="b">
        <v>0</v>
      </c>
      <c r="M218" s="8" t="b">
        <v>0</v>
      </c>
      <c r="N218" s="8" t="b">
        <v>0</v>
      </c>
      <c r="O218" s="8" t="n">
        <v>0</v>
      </c>
      <c r="P218" s="8" t="n">
        <v>0</v>
      </c>
      <c r="Q218" s="8" t="n">
        <v>0</v>
      </c>
      <c r="R218" s="8" t="n"/>
      <c r="S218" s="23" t="n"/>
      <c r="T218" s="23" t="n"/>
      <c r="U218" s="8" t="n">
        <v>0</v>
      </c>
      <c r="V218" s="9" t="n">
        <v>0</v>
      </c>
      <c r="W218" s="8" t="n"/>
      <c r="X218" s="9" t="n"/>
      <c r="Y218" s="8" t="n"/>
      <c r="Z218" s="8" t="inlineStr">
        <is>
          <t>gbp_logs</t>
        </is>
      </c>
    </row>
    <row r="219">
      <c r="A219" s="11" t="inlineStr">
        <is>
          <t>15c56c49-f0fc-457f-89eb-6f5d2134086a</t>
        </is>
      </c>
      <c r="B219" s="11" t="inlineStr">
        <is>
          <t>StudioM</t>
        </is>
      </c>
      <c r="C219" s="24" t="n">
        <v>46148</v>
      </c>
      <c r="D219" s="11" t="inlineStr">
        <is>
          <t>2026-05</t>
        </is>
      </c>
      <c r="E219" s="11" t="b">
        <v>0</v>
      </c>
      <c r="F219" s="11" t="b">
        <v>1</v>
      </c>
      <c r="G219" s="11" t="b">
        <v>1</v>
      </c>
      <c r="H219" s="11" t="b">
        <v>1</v>
      </c>
      <c r="I219" s="11" t="b">
        <v>1</v>
      </c>
      <c r="J219" s="11" t="b">
        <v>1</v>
      </c>
      <c r="K219" s="11" t="b">
        <v>0</v>
      </c>
      <c r="L219" s="11" t="b">
        <v>0</v>
      </c>
      <c r="M219" s="11" t="b">
        <v>0</v>
      </c>
      <c r="N219" s="11" t="b">
        <v>1</v>
      </c>
      <c r="O219" s="11" t="n">
        <v>2</v>
      </c>
      <c r="P219" s="11" t="n">
        <v>0</v>
      </c>
      <c r="Q219" s="11" t="n">
        <v>0</v>
      </c>
      <c r="R219" s="11" t="n"/>
      <c r="S219" s="24" t="n">
        <v>46160</v>
      </c>
      <c r="T219" s="24" t="n">
        <v>46160</v>
      </c>
      <c r="U219" s="11" t="n">
        <v>0</v>
      </c>
      <c r="V219" s="12" t="n">
        <v>0</v>
      </c>
      <c r="W219" s="11" t="inlineStr">
        <is>
          <t>cus_U7nKf9cFbo4kSy</t>
        </is>
      </c>
      <c r="X219" s="12" t="n"/>
      <c r="Y219" s="11" t="inlineStr">
        <is>
          <t>cancelled</t>
        </is>
      </c>
      <c r="Z219" s="11" t="inlineStr">
        <is>
          <t>gbp</t>
        </is>
      </c>
    </row>
    <row r="220">
      <c r="A220" s="8" t="inlineStr">
        <is>
          <t>183f1663-e374-4586-81ab-34f0060edeed</t>
        </is>
      </c>
      <c r="B220" s="8" t="inlineStr">
        <is>
          <t>Arch 4 U Threading Lounge (Lakeshore Publix)</t>
        </is>
      </c>
      <c r="C220" s="23" t="n">
        <v>46150</v>
      </c>
      <c r="D220" s="8" t="inlineStr">
        <is>
          <t>2026-05</t>
        </is>
      </c>
      <c r="E220" s="8" t="b">
        <v>1</v>
      </c>
      <c r="F220" s="8" t="b">
        <v>1</v>
      </c>
      <c r="G220" s="8" t="b">
        <v>1</v>
      </c>
      <c r="H220" s="8" t="b">
        <v>1</v>
      </c>
      <c r="I220" s="8" t="b">
        <v>1</v>
      </c>
      <c r="J220" s="8" t="b">
        <v>0</v>
      </c>
      <c r="K220" s="8" t="b">
        <v>1</v>
      </c>
      <c r="L220" s="8" t="b">
        <v>1</v>
      </c>
      <c r="M220" s="8" t="b">
        <v>1</v>
      </c>
      <c r="N220" s="8" t="b">
        <v>1</v>
      </c>
      <c r="O220" s="8" t="n">
        <v>7</v>
      </c>
      <c r="P220" s="8" t="n">
        <v>6</v>
      </c>
      <c r="Q220" s="8" t="n">
        <v>0</v>
      </c>
      <c r="R220" s="8" t="n"/>
      <c r="S220" s="23" t="n">
        <v>46184</v>
      </c>
      <c r="T220" s="23" t="n">
        <v>46234</v>
      </c>
      <c r="U220" s="8" t="n">
        <v>0</v>
      </c>
      <c r="V220" s="9" t="n">
        <v>0</v>
      </c>
      <c r="W220" s="8" t="inlineStr">
        <is>
          <t>AzqfWHV32IOC1Y1U</t>
        </is>
      </c>
      <c r="X220" s="9" t="n">
        <v>199</v>
      </c>
      <c r="Y220" s="8" t="inlineStr">
        <is>
          <t>active</t>
        </is>
      </c>
      <c r="Z220" s="8" t="inlineStr">
        <is>
          <t>gbp</t>
        </is>
      </c>
    </row>
    <row r="221">
      <c r="A221" s="11" t="inlineStr">
        <is>
          <t>7cd22cf7-382e-4ebd-a375-5c23b203368d</t>
        </is>
      </c>
      <c r="B221" s="11" t="inlineStr">
        <is>
          <t>JL Studio</t>
        </is>
      </c>
      <c r="C221" s="24" t="n">
        <v>46156</v>
      </c>
      <c r="D221" s="11" t="inlineStr">
        <is>
          <t>2026-05</t>
        </is>
      </c>
      <c r="E221" s="11" t="b">
        <v>1</v>
      </c>
      <c r="F221" s="11" t="b">
        <v>1</v>
      </c>
      <c r="G221" s="11" t="b">
        <v>0</v>
      </c>
      <c r="H221" s="11" t="b">
        <v>0</v>
      </c>
      <c r="I221" s="11" t="b">
        <v>0</v>
      </c>
      <c r="J221" s="11" t="b">
        <v>0</v>
      </c>
      <c r="K221" s="11" t="b">
        <v>0</v>
      </c>
      <c r="L221" s="11" t="b">
        <v>0</v>
      </c>
      <c r="M221" s="11" t="b">
        <v>0</v>
      </c>
      <c r="N221" s="11" t="b">
        <v>0</v>
      </c>
      <c r="O221" s="11" t="n">
        <v>0</v>
      </c>
      <c r="P221" s="11" t="n">
        <v>0</v>
      </c>
      <c r="Q221" s="11" t="n">
        <v>0</v>
      </c>
      <c r="R221" s="11" t="n"/>
      <c r="S221" s="24" t="n"/>
      <c r="T221" s="24" t="n"/>
      <c r="U221" s="11" t="n">
        <v>0</v>
      </c>
      <c r="V221" s="12" t="n">
        <v>0</v>
      </c>
      <c r="W221" s="11" t="inlineStr">
        <is>
          <t>AzqeNwVGyY6ckRDO</t>
        </is>
      </c>
      <c r="X221" s="12" t="n">
        <v>150</v>
      </c>
      <c r="Y221" s="11" t="inlineStr">
        <is>
          <t>active</t>
        </is>
      </c>
      <c r="Z221" s="11" t="inlineStr">
        <is>
          <t>gbp</t>
        </is>
      </c>
    </row>
    <row r="222">
      <c r="A222" s="8" t="inlineStr">
        <is>
          <t>207a6569-8767-4397-8f16-82cae7608106</t>
        </is>
      </c>
      <c r="B222" s="8" t="inlineStr">
        <is>
          <t>The Painted Tip</t>
        </is>
      </c>
      <c r="C222" s="23" t="n">
        <v>46157</v>
      </c>
      <c r="D222" s="8" t="inlineStr">
        <is>
          <t>2026-05</t>
        </is>
      </c>
      <c r="E222" s="8" t="b">
        <v>1</v>
      </c>
      <c r="F222" s="8" t="b">
        <v>1</v>
      </c>
      <c r="G222" s="8" t="b">
        <v>1</v>
      </c>
      <c r="H222" s="8" t="b">
        <v>1</v>
      </c>
      <c r="I222" s="8" t="b">
        <v>1</v>
      </c>
      <c r="J222" s="8" t="b">
        <v>0</v>
      </c>
      <c r="K222" s="8" t="b">
        <v>1</v>
      </c>
      <c r="L222" s="8" t="b">
        <v>1</v>
      </c>
      <c r="M222" s="8" t="b">
        <v>1</v>
      </c>
      <c r="N222" s="8" t="b">
        <v>1</v>
      </c>
      <c r="O222" s="8" t="n">
        <v>0</v>
      </c>
      <c r="P222" s="8" t="n">
        <v>0</v>
      </c>
      <c r="Q222" s="8" t="n">
        <v>0</v>
      </c>
      <c r="R222" s="8" t="n"/>
      <c r="S222" s="23" t="n"/>
      <c r="T222" s="23" t="n"/>
      <c r="U222" s="8" t="n">
        <v>0</v>
      </c>
      <c r="V222" s="9" t="n">
        <v>0</v>
      </c>
      <c r="W222" s="8" t="n"/>
      <c r="X222" s="9" t="n"/>
      <c r="Y222" s="8" t="n"/>
      <c r="Z222" s="8" t="inlineStr">
        <is>
          <t>gbp</t>
        </is>
      </c>
    </row>
    <row r="223">
      <c r="A223" s="11" t="inlineStr">
        <is>
          <t>d02d88ff-7c8a-458f-8d53-468ef11ca077</t>
        </is>
      </c>
      <c r="B223" s="11" t="inlineStr">
        <is>
          <t>Saxena spa salon gsisg</t>
        </is>
      </c>
      <c r="C223" s="24" t="n">
        <v>46157</v>
      </c>
      <c r="D223" s="11" t="inlineStr">
        <is>
          <t>2026-05</t>
        </is>
      </c>
      <c r="E223" s="11" t="b">
        <v>1</v>
      </c>
      <c r="F223" s="11" t="b">
        <v>1</v>
      </c>
      <c r="G223" s="11" t="b">
        <v>1</v>
      </c>
      <c r="H223" s="11" t="b">
        <v>1</v>
      </c>
      <c r="I223" s="11" t="b">
        <v>1</v>
      </c>
      <c r="J223" s="11" t="b">
        <v>0</v>
      </c>
      <c r="K223" s="11" t="b">
        <v>1</v>
      </c>
      <c r="L223" s="11" t="b">
        <v>1</v>
      </c>
      <c r="M223" s="11" t="b">
        <v>1</v>
      </c>
      <c r="N223" s="11" t="b">
        <v>1</v>
      </c>
      <c r="O223" s="11" t="n">
        <v>51</v>
      </c>
      <c r="P223" s="11" t="n">
        <v>16</v>
      </c>
      <c r="Q223" s="11" t="n">
        <v>0</v>
      </c>
      <c r="R223" s="11" t="n"/>
      <c r="S223" s="24" t="n">
        <v>46157</v>
      </c>
      <c r="T223" s="24" t="n">
        <v>46160</v>
      </c>
      <c r="U223" s="11" t="n">
        <v>15</v>
      </c>
      <c r="V223" s="12" t="n">
        <v>947.78</v>
      </c>
      <c r="W223" s="11" t="n"/>
      <c r="X223" s="12" t="n"/>
      <c r="Y223" s="11" t="n"/>
      <c r="Z223" s="11" t="inlineStr">
        <is>
          <t>gbp_logs</t>
        </is>
      </c>
    </row>
    <row r="224">
      <c r="A224" s="8" t="inlineStr">
        <is>
          <t>00ea7e44-3e43-48f1-b728-b6caecc5a116</t>
        </is>
      </c>
      <c r="B224" s="8" t="inlineStr">
        <is>
          <t>Vaibhav's Spa &amp; Wellness</t>
        </is>
      </c>
      <c r="C224" s="23" t="n">
        <v>46157</v>
      </c>
      <c r="D224" s="8" t="inlineStr">
        <is>
          <t>2026-05</t>
        </is>
      </c>
      <c r="E224" s="8" t="b">
        <v>1</v>
      </c>
      <c r="F224" s="8" t="b">
        <v>1</v>
      </c>
      <c r="G224" s="8" t="b">
        <v>1</v>
      </c>
      <c r="H224" s="8" t="b">
        <v>1</v>
      </c>
      <c r="I224" s="8" t="b">
        <v>1</v>
      </c>
      <c r="J224" s="8" t="b">
        <v>0</v>
      </c>
      <c r="K224" s="8" t="b">
        <v>1</v>
      </c>
      <c r="L224" s="8" t="b">
        <v>1</v>
      </c>
      <c r="M224" s="8" t="b">
        <v>1</v>
      </c>
      <c r="N224" s="8" t="b">
        <v>1</v>
      </c>
      <c r="O224" s="8" t="n">
        <v>1</v>
      </c>
      <c r="P224" s="8" t="n">
        <v>1</v>
      </c>
      <c r="Q224" s="8" t="n">
        <v>0</v>
      </c>
      <c r="R224" s="8" t="n"/>
      <c r="S224" s="23" t="n">
        <v>46204</v>
      </c>
      <c r="T224" s="23" t="n">
        <v>46204</v>
      </c>
      <c r="U224" s="8" t="n">
        <v>0</v>
      </c>
      <c r="V224" s="9" t="n">
        <v>0</v>
      </c>
      <c r="W224" s="8" t="inlineStr">
        <is>
          <t>AzqSZPVOoDjBq26dz</t>
        </is>
      </c>
      <c r="X224" s="9" t="n"/>
      <c r="Y224" s="8" t="n"/>
      <c r="Z224" s="8" t="inlineStr">
        <is>
          <t>gbp</t>
        </is>
      </c>
    </row>
    <row r="225">
      <c r="A225" s="11" t="inlineStr">
        <is>
          <t>c58df452-e3a0-4d81-aca2-1dfb35f1119d</t>
        </is>
      </c>
      <c r="B225" s="11" t="inlineStr">
        <is>
          <t>Flanker42 Data Solutions</t>
        </is>
      </c>
      <c r="C225" s="24" t="n">
        <v>46157</v>
      </c>
      <c r="D225" s="11" t="inlineStr">
        <is>
          <t>2026-05</t>
        </is>
      </c>
      <c r="E225" s="11" t="b">
        <v>1</v>
      </c>
      <c r="F225" s="11" t="b">
        <v>1</v>
      </c>
      <c r="G225" s="11" t="b">
        <v>1</v>
      </c>
      <c r="H225" s="11" t="b">
        <v>1</v>
      </c>
      <c r="I225" s="11" t="b">
        <v>1</v>
      </c>
      <c r="J225" s="11" t="b">
        <v>0</v>
      </c>
      <c r="K225" s="11" t="b">
        <v>1</v>
      </c>
      <c r="L225" s="11" t="b">
        <v>1</v>
      </c>
      <c r="M225" s="11" t="b">
        <v>1</v>
      </c>
      <c r="N225" s="11" t="b">
        <v>1</v>
      </c>
      <c r="O225" s="11" t="n">
        <v>0</v>
      </c>
      <c r="P225" s="11" t="n">
        <v>0</v>
      </c>
      <c r="Q225" s="11" t="n">
        <v>0</v>
      </c>
      <c r="R225" s="11" t="n"/>
      <c r="S225" s="24" t="n"/>
      <c r="T225" s="24" t="n"/>
      <c r="U225" s="11" t="n">
        <v>0</v>
      </c>
      <c r="V225" s="12" t="n">
        <v>0</v>
      </c>
      <c r="W225" s="11" t="n"/>
      <c r="X225" s="12" t="n"/>
      <c r="Y225" s="11" t="n"/>
      <c r="Z225" s="11" t="inlineStr">
        <is>
          <t>gbp_logs</t>
        </is>
      </c>
    </row>
    <row r="226">
      <c r="A226" s="8" t="inlineStr">
        <is>
          <t>7bda22ce-6844-4fd8-9f20-c0294eb77377</t>
        </is>
      </c>
      <c r="B226" s="8" t="inlineStr">
        <is>
          <t>House of Lumen</t>
        </is>
      </c>
      <c r="C226" s="23" t="n">
        <v>46158</v>
      </c>
      <c r="D226" s="8" t="inlineStr">
        <is>
          <t>2026-05</t>
        </is>
      </c>
      <c r="E226" s="8" t="b">
        <v>1</v>
      </c>
      <c r="F226" s="8" t="b">
        <v>0</v>
      </c>
      <c r="G226" s="8" t="b">
        <v>0</v>
      </c>
      <c r="H226" s="8" t="b">
        <v>0</v>
      </c>
      <c r="I226" s="8" t="b">
        <v>0</v>
      </c>
      <c r="J226" s="8" t="b">
        <v>0</v>
      </c>
      <c r="K226" s="8" t="b">
        <v>0</v>
      </c>
      <c r="L226" s="8" t="b">
        <v>0</v>
      </c>
      <c r="M226" s="8" t="b">
        <v>0</v>
      </c>
      <c r="N226" s="8" t="b">
        <v>0</v>
      </c>
      <c r="O226" s="8" t="n">
        <v>0</v>
      </c>
      <c r="P226" s="8" t="n">
        <v>0</v>
      </c>
      <c r="Q226" s="8" t="n">
        <v>0</v>
      </c>
      <c r="R226" s="8" t="n"/>
      <c r="S226" s="23" t="n"/>
      <c r="T226" s="23" t="n"/>
      <c r="U226" s="8" t="n">
        <v>0</v>
      </c>
      <c r="V226" s="9" t="n">
        <v>0</v>
      </c>
      <c r="W226" s="8" t="inlineStr">
        <is>
          <t>16BcLbVJnmMHl4bI7</t>
        </is>
      </c>
      <c r="X226" s="9" t="n"/>
      <c r="Y226" s="8" t="n"/>
      <c r="Z226" s="8" t="inlineStr">
        <is>
          <t>gbp</t>
        </is>
      </c>
    </row>
    <row r="227">
      <c r="A227" s="11" t="inlineStr">
        <is>
          <t>835eeda3-8672-4df7-9b12-4693f565d624</t>
        </is>
      </c>
      <c r="B227" s="33" t="inlineStr">
        <is>
          <t>(name not on file)</t>
        </is>
      </c>
      <c r="C227" s="24" t="n">
        <v>46160</v>
      </c>
      <c r="D227" s="11" t="inlineStr">
        <is>
          <t>2026-05</t>
        </is>
      </c>
      <c r="E227" s="11" t="b">
        <v>1</v>
      </c>
      <c r="F227" s="11" t="b">
        <v>1</v>
      </c>
      <c r="G227" s="11" t="b">
        <v>1</v>
      </c>
      <c r="H227" s="11" t="b">
        <v>1</v>
      </c>
      <c r="I227" s="11" t="b">
        <v>1</v>
      </c>
      <c r="J227" s="11" t="b">
        <v>0</v>
      </c>
      <c r="K227" s="11" t="b">
        <v>1</v>
      </c>
      <c r="L227" s="11" t="b">
        <v>1</v>
      </c>
      <c r="M227" s="11" t="b">
        <v>1</v>
      </c>
      <c r="N227" s="11" t="b">
        <v>1</v>
      </c>
      <c r="O227" s="11" t="n">
        <v>3</v>
      </c>
      <c r="P227" s="11" t="n">
        <v>0</v>
      </c>
      <c r="Q227" s="11" t="n">
        <v>0</v>
      </c>
      <c r="R227" s="11" t="n"/>
      <c r="S227" s="24" t="n">
        <v>46160</v>
      </c>
      <c r="T227" s="24" t="n">
        <v>46160</v>
      </c>
      <c r="U227" s="11" t="n">
        <v>3</v>
      </c>
      <c r="V227" s="12" t="n">
        <v>295</v>
      </c>
      <c r="W227" s="11" t="n"/>
      <c r="X227" s="12" t="n"/>
      <c r="Y227" s="11" t="n"/>
      <c r="Z227" s="11" t="inlineStr">
        <is>
          <t>unknown</t>
        </is>
      </c>
    </row>
    <row r="228">
      <c r="A228" s="8" t="inlineStr">
        <is>
          <t>6ec00663-64f8-4ff8-9c05-ad8ea7696dbc</t>
        </is>
      </c>
      <c r="B228" s="8" t="inlineStr">
        <is>
          <t>Natasha juice centre</t>
        </is>
      </c>
      <c r="C228" s="23" t="n">
        <v>46160</v>
      </c>
      <c r="D228" s="8" t="inlineStr">
        <is>
          <t>2026-05</t>
        </is>
      </c>
      <c r="E228" s="8" t="b">
        <v>1</v>
      </c>
      <c r="F228" s="8" t="b">
        <v>1</v>
      </c>
      <c r="G228" s="8" t="b">
        <v>1</v>
      </c>
      <c r="H228" s="8" t="b">
        <v>1</v>
      </c>
      <c r="I228" s="8" t="b">
        <v>1</v>
      </c>
      <c r="J228" s="8" t="b">
        <v>0</v>
      </c>
      <c r="K228" s="8" t="b">
        <v>1</v>
      </c>
      <c r="L228" s="8" t="b">
        <v>1</v>
      </c>
      <c r="M228" s="8" t="b">
        <v>1</v>
      </c>
      <c r="N228" s="8" t="b">
        <v>1</v>
      </c>
      <c r="O228" s="8" t="n">
        <v>0</v>
      </c>
      <c r="P228" s="8" t="n">
        <v>0</v>
      </c>
      <c r="Q228" s="8" t="n">
        <v>0</v>
      </c>
      <c r="R228" s="8" t="n"/>
      <c r="S228" s="23" t="n"/>
      <c r="T228" s="23" t="n"/>
      <c r="U228" s="8" t="n">
        <v>0</v>
      </c>
      <c r="V228" s="9" t="n">
        <v>0</v>
      </c>
      <c r="W228" s="8" t="inlineStr">
        <is>
          <t>AzqeS6VJwzc5IgPp</t>
        </is>
      </c>
      <c r="X228" s="9" t="n"/>
      <c r="Y228" s="8" t="n"/>
      <c r="Z228" s="8" t="inlineStr">
        <is>
          <t>chargebee_company</t>
        </is>
      </c>
    </row>
    <row r="229">
      <c r="A229" s="11" t="inlineStr">
        <is>
          <t>a8a6a3f5-8523-45a9-87e3-f72b842ea393</t>
        </is>
      </c>
      <c r="B229" s="11" t="inlineStr">
        <is>
          <t>Natasha service centre</t>
        </is>
      </c>
      <c r="C229" s="24" t="n">
        <v>46160</v>
      </c>
      <c r="D229" s="11" t="inlineStr">
        <is>
          <t>2026-05</t>
        </is>
      </c>
      <c r="E229" s="11" t="b">
        <v>1</v>
      </c>
      <c r="F229" s="11" t="b">
        <v>1</v>
      </c>
      <c r="G229" s="11" t="b">
        <v>1</v>
      </c>
      <c r="H229" s="11" t="b">
        <v>1</v>
      </c>
      <c r="I229" s="11" t="b">
        <v>1</v>
      </c>
      <c r="J229" s="11" t="b">
        <v>0</v>
      </c>
      <c r="K229" s="11" t="b">
        <v>1</v>
      </c>
      <c r="L229" s="11" t="b">
        <v>1</v>
      </c>
      <c r="M229" s="11" t="b">
        <v>1</v>
      </c>
      <c r="N229" s="11" t="b">
        <v>1</v>
      </c>
      <c r="O229" s="11" t="n">
        <v>0</v>
      </c>
      <c r="P229" s="11" t="n">
        <v>0</v>
      </c>
      <c r="Q229" s="11" t="n">
        <v>0</v>
      </c>
      <c r="R229" s="11" t="n"/>
      <c r="S229" s="24" t="n"/>
      <c r="T229" s="24" t="n"/>
      <c r="U229" s="11" t="n">
        <v>0</v>
      </c>
      <c r="V229" s="12" t="n">
        <v>0</v>
      </c>
      <c r="W229" s="11" t="inlineStr">
        <is>
          <t>AzqQ2lVJx2qNLfES</t>
        </is>
      </c>
      <c r="X229" s="12" t="n"/>
      <c r="Y229" s="11" t="n"/>
      <c r="Z229" s="11" t="inlineStr">
        <is>
          <t>chargebee_company</t>
        </is>
      </c>
    </row>
    <row r="230">
      <c r="A230" s="8" t="inlineStr">
        <is>
          <t>2be8c36d-4961-414c-adfc-54042705bb6d</t>
        </is>
      </c>
      <c r="B230" s="8" t="inlineStr">
        <is>
          <t>Saxena spa salon gsisg</t>
        </is>
      </c>
      <c r="C230" s="23" t="n">
        <v>46160</v>
      </c>
      <c r="D230" s="8" t="inlineStr">
        <is>
          <t>2026-05</t>
        </is>
      </c>
      <c r="E230" s="8" t="b">
        <v>1</v>
      </c>
      <c r="F230" s="8" t="b">
        <v>1</v>
      </c>
      <c r="G230" s="8" t="b">
        <v>1</v>
      </c>
      <c r="H230" s="8" t="b">
        <v>1</v>
      </c>
      <c r="I230" s="8" t="b">
        <v>1</v>
      </c>
      <c r="J230" s="8" t="b">
        <v>0</v>
      </c>
      <c r="K230" s="8" t="b">
        <v>1</v>
      </c>
      <c r="L230" s="8" t="b">
        <v>1</v>
      </c>
      <c r="M230" s="8" t="b">
        <v>1</v>
      </c>
      <c r="N230" s="8" t="b">
        <v>1</v>
      </c>
      <c r="O230" s="8" t="n">
        <v>0</v>
      </c>
      <c r="P230" s="8" t="n">
        <v>0</v>
      </c>
      <c r="Q230" s="8" t="n">
        <v>0</v>
      </c>
      <c r="R230" s="8" t="n"/>
      <c r="S230" s="23" t="n"/>
      <c r="T230" s="23" t="n"/>
      <c r="U230" s="8" t="n">
        <v>0</v>
      </c>
      <c r="V230" s="9" t="n">
        <v>0</v>
      </c>
      <c r="W230" s="8" t="inlineStr">
        <is>
          <t>AzZxDVVJxsnJr1HLq</t>
        </is>
      </c>
      <c r="X230" s="9" t="n"/>
      <c r="Y230" s="8" t="n"/>
      <c r="Z230" s="8" t="inlineStr">
        <is>
          <t>chargebee_company</t>
        </is>
      </c>
    </row>
    <row r="231">
      <c r="A231" s="11" t="inlineStr">
        <is>
          <t>c7ffc741-9294-41b3-b411-e823602ec373</t>
        </is>
      </c>
      <c r="B231" s="33" t="inlineStr">
        <is>
          <t>(name not on file)</t>
        </is>
      </c>
      <c r="C231" s="24" t="n">
        <v>46160</v>
      </c>
      <c r="D231" s="11" t="inlineStr">
        <is>
          <t>2026-05</t>
        </is>
      </c>
      <c r="E231" s="11" t="b">
        <v>1</v>
      </c>
      <c r="F231" s="11" t="b">
        <v>1</v>
      </c>
      <c r="G231" s="11" t="b">
        <v>1</v>
      </c>
      <c r="H231" s="11" t="b">
        <v>1</v>
      </c>
      <c r="I231" s="11" t="b">
        <v>1</v>
      </c>
      <c r="J231" s="11" t="b">
        <v>0</v>
      </c>
      <c r="K231" s="11" t="b">
        <v>1</v>
      </c>
      <c r="L231" s="11" t="b">
        <v>1</v>
      </c>
      <c r="M231" s="11" t="b">
        <v>1</v>
      </c>
      <c r="N231" s="11" t="b">
        <v>1</v>
      </c>
      <c r="O231" s="11" t="n">
        <v>5</v>
      </c>
      <c r="P231" s="11" t="n">
        <v>0</v>
      </c>
      <c r="Q231" s="11" t="n">
        <v>0</v>
      </c>
      <c r="R231" s="11" t="n"/>
      <c r="S231" s="24" t="n">
        <v>46160</v>
      </c>
      <c r="T231" s="24" t="n">
        <v>46160</v>
      </c>
      <c r="U231" s="11" t="n">
        <v>0</v>
      </c>
      <c r="V231" s="12" t="n">
        <v>0</v>
      </c>
      <c r="W231" s="11" t="n"/>
      <c r="X231" s="12" t="n"/>
      <c r="Y231" s="11" t="n"/>
      <c r="Z231" s="11" t="inlineStr">
        <is>
          <t>unknown</t>
        </is>
      </c>
    </row>
    <row r="232">
      <c r="A232" s="8" t="inlineStr">
        <is>
          <t>9f83746e-ba32-43da-a082-20b4f92208b2</t>
        </is>
      </c>
      <c r="B232" s="8" t="inlineStr">
        <is>
          <t>Saxena spa salon gsisg</t>
        </is>
      </c>
      <c r="C232" s="23" t="n">
        <v>46160</v>
      </c>
      <c r="D232" s="8" t="inlineStr">
        <is>
          <t>2026-05</t>
        </is>
      </c>
      <c r="E232" s="8" t="b">
        <v>1</v>
      </c>
      <c r="F232" s="8" t="b">
        <v>1</v>
      </c>
      <c r="G232" s="8" t="b">
        <v>1</v>
      </c>
      <c r="H232" s="8" t="b">
        <v>1</v>
      </c>
      <c r="I232" s="8" t="b">
        <v>1</v>
      </c>
      <c r="J232" s="8" t="b">
        <v>0</v>
      </c>
      <c r="K232" s="8" t="b">
        <v>1</v>
      </c>
      <c r="L232" s="8" t="b">
        <v>1</v>
      </c>
      <c r="M232" s="8" t="b">
        <v>1</v>
      </c>
      <c r="N232" s="8" t="b">
        <v>1</v>
      </c>
      <c r="O232" s="8" t="n">
        <v>0</v>
      </c>
      <c r="P232" s="8" t="n">
        <v>0</v>
      </c>
      <c r="Q232" s="8" t="n">
        <v>0</v>
      </c>
      <c r="R232" s="8" t="n"/>
      <c r="S232" s="23" t="n"/>
      <c r="T232" s="23" t="n"/>
      <c r="U232" s="8" t="n">
        <v>0</v>
      </c>
      <c r="V232" s="9" t="n">
        <v>0</v>
      </c>
      <c r="W232" s="8" t="inlineStr">
        <is>
          <t>AzZxDVVJyXUuM1oIT</t>
        </is>
      </c>
      <c r="X232" s="9" t="n"/>
      <c r="Y232" s="8" t="n"/>
      <c r="Z232" s="8" t="inlineStr">
        <is>
          <t>gbp_logs</t>
        </is>
      </c>
    </row>
    <row r="233">
      <c r="A233" s="11" t="inlineStr">
        <is>
          <t>2227c4be-f237-4c49-9418-fbc3ad945a8c</t>
        </is>
      </c>
      <c r="B233" s="11" t="inlineStr">
        <is>
          <t>Slayishhh Blast</t>
        </is>
      </c>
      <c r="C233" s="24" t="n">
        <v>46160</v>
      </c>
      <c r="D233" s="11" t="inlineStr">
        <is>
          <t>2026-05</t>
        </is>
      </c>
      <c r="E233" s="11" t="b">
        <v>1</v>
      </c>
      <c r="F233" s="11" t="b">
        <v>1</v>
      </c>
      <c r="G233" s="11" t="b">
        <v>1</v>
      </c>
      <c r="H233" s="11" t="b">
        <v>1</v>
      </c>
      <c r="I233" s="11" t="b">
        <v>1</v>
      </c>
      <c r="J233" s="11" t="b">
        <v>0</v>
      </c>
      <c r="K233" s="11" t="b">
        <v>1</v>
      </c>
      <c r="L233" s="11" t="b">
        <v>1</v>
      </c>
      <c r="M233" s="11" t="b">
        <v>1</v>
      </c>
      <c r="N233" s="11" t="b">
        <v>1</v>
      </c>
      <c r="O233" s="11" t="n">
        <v>8</v>
      </c>
      <c r="P233" s="11" t="n">
        <v>5</v>
      </c>
      <c r="Q233" s="11" t="n">
        <v>0</v>
      </c>
      <c r="R233" s="11" t="n"/>
      <c r="S233" s="24" t="n">
        <v>46174</v>
      </c>
      <c r="T233" s="24" t="n">
        <v>46226</v>
      </c>
      <c r="U233" s="11" t="n">
        <v>3</v>
      </c>
      <c r="V233" s="12" t="n">
        <v>300</v>
      </c>
      <c r="W233" s="11" t="inlineStr">
        <is>
          <t>Azq7xbVJywebi2DNN</t>
        </is>
      </c>
      <c r="X233" s="12" t="n"/>
      <c r="Y233" s="11" t="n"/>
      <c r="Z233" s="11" t="inlineStr">
        <is>
          <t>gbp</t>
        </is>
      </c>
    </row>
    <row r="234">
      <c r="A234" s="8" t="inlineStr">
        <is>
          <t>0489e46a-36f3-4a12-b62a-a7dbcb5c1a73</t>
        </is>
      </c>
      <c r="B234" s="8" t="inlineStr">
        <is>
          <t>Saxena Bike Accessories</t>
        </is>
      </c>
      <c r="C234" s="23" t="n">
        <v>46160</v>
      </c>
      <c r="D234" s="8" t="inlineStr">
        <is>
          <t>2026-05</t>
        </is>
      </c>
      <c r="E234" s="8" t="b">
        <v>1</v>
      </c>
      <c r="F234" s="8" t="b">
        <v>1</v>
      </c>
      <c r="G234" s="8" t="b">
        <v>1</v>
      </c>
      <c r="H234" s="8" t="b">
        <v>1</v>
      </c>
      <c r="I234" s="8" t="b">
        <v>1</v>
      </c>
      <c r="J234" s="8" t="b">
        <v>0</v>
      </c>
      <c r="K234" s="8" t="b">
        <v>1</v>
      </c>
      <c r="L234" s="8" t="b">
        <v>1</v>
      </c>
      <c r="M234" s="8" t="b">
        <v>1</v>
      </c>
      <c r="N234" s="8" t="b">
        <v>1</v>
      </c>
      <c r="O234" s="8" t="n">
        <v>1</v>
      </c>
      <c r="P234" s="8" t="n">
        <v>1</v>
      </c>
      <c r="Q234" s="8" t="n">
        <v>0</v>
      </c>
      <c r="R234" s="8" t="n"/>
      <c r="S234" s="23" t="n">
        <v>46162</v>
      </c>
      <c r="T234" s="23" t="n">
        <v>46162</v>
      </c>
      <c r="U234" s="8" t="n">
        <v>0</v>
      </c>
      <c r="V234" s="9" t="n">
        <v>0</v>
      </c>
      <c r="W234" s="8" t="n"/>
      <c r="X234" s="9" t="n"/>
      <c r="Y234" s="8" t="n"/>
      <c r="Z234" s="8" t="inlineStr">
        <is>
          <t>gbp_logs</t>
        </is>
      </c>
    </row>
    <row r="235">
      <c r="A235" s="11" t="inlineStr">
        <is>
          <t>2355c161-3155-4f11-8198-5117eb8037e8</t>
        </is>
      </c>
      <c r="B235" s="11" t="inlineStr">
        <is>
          <t>Superb Salon &amp; Spa</t>
        </is>
      </c>
      <c r="C235" s="24" t="n">
        <v>46160</v>
      </c>
      <c r="D235" s="11" t="inlineStr">
        <is>
          <t>2026-05</t>
        </is>
      </c>
      <c r="E235" s="11" t="b">
        <v>1</v>
      </c>
      <c r="F235" s="11" t="b">
        <v>1</v>
      </c>
      <c r="G235" s="11" t="b">
        <v>1</v>
      </c>
      <c r="H235" s="11" t="b">
        <v>1</v>
      </c>
      <c r="I235" s="11" t="b">
        <v>1</v>
      </c>
      <c r="J235" s="11" t="b">
        <v>0</v>
      </c>
      <c r="K235" s="11" t="b">
        <v>1</v>
      </c>
      <c r="L235" s="11" t="b">
        <v>1</v>
      </c>
      <c r="M235" s="11" t="b">
        <v>1</v>
      </c>
      <c r="N235" s="11" t="b">
        <v>1</v>
      </c>
      <c r="O235" s="11" t="n">
        <v>55</v>
      </c>
      <c r="P235" s="11" t="n">
        <v>52</v>
      </c>
      <c r="Q235" s="11" t="n">
        <v>0</v>
      </c>
      <c r="R235" s="11" t="n"/>
      <c r="S235" s="24" t="n">
        <v>46161</v>
      </c>
      <c r="T235" s="24" t="n">
        <v>46227</v>
      </c>
      <c r="U235" s="11" t="n">
        <v>0</v>
      </c>
      <c r="V235" s="12" t="n">
        <v>0</v>
      </c>
      <c r="W235" s="11" t="inlineStr">
        <is>
          <t>169y3uVJz0wRW2GvV</t>
        </is>
      </c>
      <c r="X235" s="12" t="n"/>
      <c r="Y235" s="11" t="n"/>
      <c r="Z235" s="11" t="inlineStr">
        <is>
          <t>gbp</t>
        </is>
      </c>
    </row>
    <row r="236">
      <c r="A236" s="8" t="inlineStr">
        <is>
          <t>f9fc3345-ac76-4c3c-ab67-d47245c70e8a</t>
        </is>
      </c>
      <c r="B236" s="8" t="inlineStr">
        <is>
          <t>HSR Beauty</t>
        </is>
      </c>
      <c r="C236" s="23" t="n">
        <v>46161</v>
      </c>
      <c r="D236" s="8" t="inlineStr">
        <is>
          <t>2026-05</t>
        </is>
      </c>
      <c r="E236" s="8" t="b">
        <v>1</v>
      </c>
      <c r="F236" s="8" t="b">
        <v>1</v>
      </c>
      <c r="G236" s="8" t="b">
        <v>1</v>
      </c>
      <c r="H236" s="8" t="b">
        <v>1</v>
      </c>
      <c r="I236" s="8" t="b">
        <v>1</v>
      </c>
      <c r="J236" s="8" t="b">
        <v>0</v>
      </c>
      <c r="K236" s="8" t="b">
        <v>1</v>
      </c>
      <c r="L236" s="8" t="b">
        <v>1</v>
      </c>
      <c r="M236" s="8" t="b">
        <v>1</v>
      </c>
      <c r="N236" s="8" t="b">
        <v>1</v>
      </c>
      <c r="O236" s="8" t="n">
        <v>0</v>
      </c>
      <c r="P236" s="8" t="n">
        <v>0</v>
      </c>
      <c r="Q236" s="8" t="n">
        <v>0</v>
      </c>
      <c r="R236" s="8" t="n"/>
      <c r="S236" s="23" t="n"/>
      <c r="T236" s="23" t="n"/>
      <c r="U236" s="8" t="n">
        <v>0</v>
      </c>
      <c r="V236" s="9" t="n">
        <v>0</v>
      </c>
      <c r="W236" s="8" t="inlineStr">
        <is>
          <t>AzqPmdVK1vTVb4Xd</t>
        </is>
      </c>
      <c r="X236" s="9" t="n"/>
      <c r="Y236" s="8" t="n"/>
      <c r="Z236" s="8" t="inlineStr">
        <is>
          <t>chargebee_company</t>
        </is>
      </c>
    </row>
    <row r="237">
      <c r="A237" s="11" t="inlineStr">
        <is>
          <t>5d1e29d2-3af1-4ef4-881b-031d38fc937d</t>
        </is>
      </c>
      <c r="B237" s="11" t="inlineStr">
        <is>
          <t>Salon Studios By Christine</t>
        </is>
      </c>
      <c r="C237" s="24" t="n">
        <v>46161</v>
      </c>
      <c r="D237" s="11" t="inlineStr">
        <is>
          <t>2026-05</t>
        </is>
      </c>
      <c r="E237" s="11" t="b">
        <v>1</v>
      </c>
      <c r="F237" s="11" t="b">
        <v>1</v>
      </c>
      <c r="G237" s="11" t="b">
        <v>1</v>
      </c>
      <c r="H237" s="11" t="b">
        <v>1</v>
      </c>
      <c r="I237" s="11" t="b">
        <v>1</v>
      </c>
      <c r="J237" s="11" t="b">
        <v>1</v>
      </c>
      <c r="K237" s="11" t="b">
        <v>0</v>
      </c>
      <c r="L237" s="11" t="b">
        <v>1</v>
      </c>
      <c r="M237" s="11" t="b">
        <v>1</v>
      </c>
      <c r="N237" s="11" t="b">
        <v>1</v>
      </c>
      <c r="O237" s="11" t="n">
        <v>152</v>
      </c>
      <c r="P237" s="11" t="n">
        <v>6</v>
      </c>
      <c r="Q237" s="11" t="n">
        <v>0</v>
      </c>
      <c r="R237" s="11" t="n"/>
      <c r="S237" s="24" t="n">
        <v>46161</v>
      </c>
      <c r="T237" s="24" t="n">
        <v>46235</v>
      </c>
      <c r="U237" s="11" t="n">
        <v>12</v>
      </c>
      <c r="V237" s="12" t="n">
        <v>773</v>
      </c>
      <c r="W237" s="11" t="inlineStr">
        <is>
          <t>AzhnbgV2w5t5yAGW</t>
        </is>
      </c>
      <c r="X237" s="12" t="n">
        <v>199</v>
      </c>
      <c r="Y237" s="11" t="inlineStr">
        <is>
          <t>active</t>
        </is>
      </c>
      <c r="Z237" s="11" t="inlineStr">
        <is>
          <t>gbp</t>
        </is>
      </c>
    </row>
    <row r="238">
      <c r="A238" s="8" t="inlineStr">
        <is>
          <t>75599b74-a0ff-4e2b-9bba-0e3acafe7f96</t>
        </is>
      </c>
      <c r="B238" s="8" t="inlineStr">
        <is>
          <t>Saxena spa salon gsisg</t>
        </is>
      </c>
      <c r="C238" s="23" t="n">
        <v>46161</v>
      </c>
      <c r="D238" s="8" t="inlineStr">
        <is>
          <t>2026-05</t>
        </is>
      </c>
      <c r="E238" s="8" t="b">
        <v>1</v>
      </c>
      <c r="F238" s="8" t="b">
        <v>1</v>
      </c>
      <c r="G238" s="8" t="b">
        <v>1</v>
      </c>
      <c r="H238" s="8" t="b">
        <v>1</v>
      </c>
      <c r="I238" s="8" t="b">
        <v>1</v>
      </c>
      <c r="J238" s="8" t="b">
        <v>0</v>
      </c>
      <c r="K238" s="8" t="b">
        <v>1</v>
      </c>
      <c r="L238" s="8" t="b">
        <v>1</v>
      </c>
      <c r="M238" s="8" t="b">
        <v>1</v>
      </c>
      <c r="N238" s="8" t="b">
        <v>1</v>
      </c>
      <c r="O238" s="8" t="n">
        <v>0</v>
      </c>
      <c r="P238" s="8" t="n">
        <v>0</v>
      </c>
      <c r="Q238" s="8" t="n">
        <v>0</v>
      </c>
      <c r="R238" s="8" t="n"/>
      <c r="S238" s="23" t="n"/>
      <c r="T238" s="23" t="n"/>
      <c r="U238" s="8" t="n">
        <v>0</v>
      </c>
      <c r="V238" s="9" t="n">
        <v>0</v>
      </c>
      <c r="W238" s="8" t="n"/>
      <c r="X238" s="9" t="n"/>
      <c r="Y238" s="8" t="n"/>
      <c r="Z238" s="8" t="inlineStr">
        <is>
          <t>gbp_logs</t>
        </is>
      </c>
    </row>
    <row r="239">
      <c r="A239" s="11" t="inlineStr">
        <is>
          <t>98e09350-e701-454e-81b3-bcaf1e355693</t>
        </is>
      </c>
      <c r="B239" s="11" t="inlineStr">
        <is>
          <t>Zoca Seed Spa - Fairbanks</t>
        </is>
      </c>
      <c r="C239" s="24" t="n">
        <v>46161</v>
      </c>
      <c r="D239" s="11" t="inlineStr">
        <is>
          <t>2026-05</t>
        </is>
      </c>
      <c r="E239" s="11" t="b">
        <v>1</v>
      </c>
      <c r="F239" s="11" t="b">
        <v>1</v>
      </c>
      <c r="G239" s="11" t="b">
        <v>1</v>
      </c>
      <c r="H239" s="11" t="b">
        <v>1</v>
      </c>
      <c r="I239" s="11" t="b">
        <v>1</v>
      </c>
      <c r="J239" s="11" t="b">
        <v>0</v>
      </c>
      <c r="K239" s="11" t="b">
        <v>1</v>
      </c>
      <c r="L239" s="11" t="b">
        <v>1</v>
      </c>
      <c r="M239" s="11" t="b">
        <v>1</v>
      </c>
      <c r="N239" s="11" t="b">
        <v>1</v>
      </c>
      <c r="O239" s="11" t="n">
        <v>10</v>
      </c>
      <c r="P239" s="11" t="n">
        <v>10</v>
      </c>
      <c r="Q239" s="11" t="n">
        <v>0</v>
      </c>
      <c r="R239" s="11" t="n"/>
      <c r="S239" s="24" t="n">
        <v>46162</v>
      </c>
      <c r="T239" s="24" t="n">
        <v>46213</v>
      </c>
      <c r="U239" s="11" t="n">
        <v>0</v>
      </c>
      <c r="V239" s="12" t="n">
        <v>0</v>
      </c>
      <c r="W239" s="11" t="inlineStr">
        <is>
          <t>AzyiPTVK6K5I62TOD</t>
        </is>
      </c>
      <c r="X239" s="12" t="n"/>
      <c r="Y239" s="11" t="n"/>
      <c r="Z239" s="11" t="inlineStr">
        <is>
          <t>gbp</t>
        </is>
      </c>
    </row>
    <row r="240">
      <c r="A240" s="8" t="inlineStr">
        <is>
          <t>648eda1c-5b9a-42cf-8ff4-b1906a394698</t>
        </is>
      </c>
      <c r="B240" s="8" t="inlineStr">
        <is>
          <t>Zoca Seed Spa - Phoenix</t>
        </is>
      </c>
      <c r="C240" s="23" t="n">
        <v>46161</v>
      </c>
      <c r="D240" s="8" t="inlineStr">
        <is>
          <t>2026-05</t>
        </is>
      </c>
      <c r="E240" s="8" t="b">
        <v>1</v>
      </c>
      <c r="F240" s="8" t="b">
        <v>1</v>
      </c>
      <c r="G240" s="8" t="b">
        <v>1</v>
      </c>
      <c r="H240" s="8" t="b">
        <v>1</v>
      </c>
      <c r="I240" s="8" t="b">
        <v>1</v>
      </c>
      <c r="J240" s="8" t="b">
        <v>0</v>
      </c>
      <c r="K240" s="8" t="b">
        <v>1</v>
      </c>
      <c r="L240" s="8" t="b">
        <v>1</v>
      </c>
      <c r="M240" s="8" t="b">
        <v>1</v>
      </c>
      <c r="N240" s="8" t="b">
        <v>1</v>
      </c>
      <c r="O240" s="8" t="n">
        <v>4</v>
      </c>
      <c r="P240" s="8" t="n">
        <v>4</v>
      </c>
      <c r="Q240" s="8" t="n">
        <v>0</v>
      </c>
      <c r="R240" s="8" t="n"/>
      <c r="S240" s="23" t="n">
        <v>46162</v>
      </c>
      <c r="T240" s="23" t="n">
        <v>46178</v>
      </c>
      <c r="U240" s="8" t="n">
        <v>0</v>
      </c>
      <c r="V240" s="9" t="n">
        <v>0</v>
      </c>
      <c r="W240" s="8" t="inlineStr">
        <is>
          <t>AzqT0mVK6U3ug2kZT</t>
        </is>
      </c>
      <c r="X240" s="9" t="n"/>
      <c r="Y240" s="8" t="n"/>
      <c r="Z240" s="8" t="inlineStr">
        <is>
          <t>gbp</t>
        </is>
      </c>
    </row>
    <row r="241">
      <c r="A241" s="11" t="inlineStr">
        <is>
          <t>703a8130-0293-4c00-9cf0-bae2ddd72d33</t>
        </is>
      </c>
      <c r="B241" s="11" t="inlineStr">
        <is>
          <t>Zoca Seed Spa - Los Angeles</t>
        </is>
      </c>
      <c r="C241" s="24" t="n">
        <v>46162</v>
      </c>
      <c r="D241" s="11" t="inlineStr">
        <is>
          <t>2026-05</t>
        </is>
      </c>
      <c r="E241" s="11" t="b">
        <v>1</v>
      </c>
      <c r="F241" s="11" t="b">
        <v>1</v>
      </c>
      <c r="G241" s="11" t="b">
        <v>1</v>
      </c>
      <c r="H241" s="11" t="b">
        <v>1</v>
      </c>
      <c r="I241" s="11" t="b">
        <v>1</v>
      </c>
      <c r="J241" s="11" t="b">
        <v>0</v>
      </c>
      <c r="K241" s="11" t="b">
        <v>1</v>
      </c>
      <c r="L241" s="11" t="b">
        <v>1</v>
      </c>
      <c r="M241" s="11" t="b">
        <v>1</v>
      </c>
      <c r="N241" s="11" t="b">
        <v>1</v>
      </c>
      <c r="O241" s="11" t="n">
        <v>30</v>
      </c>
      <c r="P241" s="11" t="n">
        <v>30</v>
      </c>
      <c r="Q241" s="11" t="n">
        <v>0</v>
      </c>
      <c r="R241" s="11" t="n"/>
      <c r="S241" s="24" t="n">
        <v>46162</v>
      </c>
      <c r="T241" s="24" t="n">
        <v>46233</v>
      </c>
      <c r="U241" s="11" t="n">
        <v>0</v>
      </c>
      <c r="V241" s="12" t="n">
        <v>0</v>
      </c>
      <c r="W241" s="11" t="inlineStr">
        <is>
          <t>AzqRJiVK7p8kW3F4</t>
        </is>
      </c>
      <c r="X241" s="12" t="n"/>
      <c r="Y241" s="11" t="n"/>
      <c r="Z241" s="11" t="inlineStr">
        <is>
          <t>gbp</t>
        </is>
      </c>
    </row>
    <row r="242">
      <c r="A242" s="8" t="inlineStr">
        <is>
          <t>53aa2eec-b9b0-4ba2-8263-f0e17d68a09e</t>
        </is>
      </c>
      <c r="B242" s="34" t="inlineStr">
        <is>
          <t>(name not on file)</t>
        </is>
      </c>
      <c r="C242" s="23" t="n">
        <v>46164</v>
      </c>
      <c r="D242" s="8" t="inlineStr">
        <is>
          <t>2026-05</t>
        </is>
      </c>
      <c r="E242" s="8" t="b">
        <v>1</v>
      </c>
      <c r="F242" s="8" t="b">
        <v>1</v>
      </c>
      <c r="G242" s="8" t="b">
        <v>1</v>
      </c>
      <c r="H242" s="8" t="b">
        <v>1</v>
      </c>
      <c r="I242" s="8" t="b">
        <v>1</v>
      </c>
      <c r="J242" s="8" t="b">
        <v>0</v>
      </c>
      <c r="K242" s="8" t="b">
        <v>1</v>
      </c>
      <c r="L242" s="8" t="b">
        <v>1</v>
      </c>
      <c r="M242" s="8" t="b">
        <v>1</v>
      </c>
      <c r="N242" s="8" t="b">
        <v>1</v>
      </c>
      <c r="O242" s="8" t="n">
        <v>1</v>
      </c>
      <c r="P242" s="8" t="n">
        <v>1</v>
      </c>
      <c r="Q242" s="8" t="n">
        <v>0</v>
      </c>
      <c r="R242" s="8" t="n"/>
      <c r="S242" s="23" t="n">
        <v>46164</v>
      </c>
      <c r="T242" s="23" t="n">
        <v>46164</v>
      </c>
      <c r="U242" s="8" t="n">
        <v>0</v>
      </c>
      <c r="V242" s="9" t="n">
        <v>0</v>
      </c>
      <c r="W242" s="8" t="n"/>
      <c r="X242" s="9" t="n"/>
      <c r="Y242" s="8" t="n"/>
      <c r="Z242" s="8" t="inlineStr">
        <is>
          <t>unknown</t>
        </is>
      </c>
    </row>
    <row r="243">
      <c r="A243" s="11" t="inlineStr">
        <is>
          <t>a91e77f9-73ee-4099-a066-3307c16e40c4</t>
        </is>
      </c>
      <c r="B243" s="11" t="inlineStr">
        <is>
          <t>Koramangala Hair Salon</t>
        </is>
      </c>
      <c r="C243" s="24" t="n">
        <v>46168</v>
      </c>
      <c r="D243" s="11" t="inlineStr">
        <is>
          <t>2026-05</t>
        </is>
      </c>
      <c r="E243" s="11" t="b">
        <v>1</v>
      </c>
      <c r="F243" s="11" t="b">
        <v>1</v>
      </c>
      <c r="G243" s="11" t="b">
        <v>1</v>
      </c>
      <c r="H243" s="11" t="b">
        <v>1</v>
      </c>
      <c r="I243" s="11" t="b">
        <v>1</v>
      </c>
      <c r="J243" s="11" t="b">
        <v>0</v>
      </c>
      <c r="K243" s="11" t="b">
        <v>1</v>
      </c>
      <c r="L243" s="11" t="b">
        <v>1</v>
      </c>
      <c r="M243" s="11" t="b">
        <v>1</v>
      </c>
      <c r="N243" s="11" t="b">
        <v>1</v>
      </c>
      <c r="O243" s="11" t="n">
        <v>0</v>
      </c>
      <c r="P243" s="11" t="n">
        <v>0</v>
      </c>
      <c r="Q243" s="11" t="n">
        <v>0</v>
      </c>
      <c r="R243" s="11" t="n"/>
      <c r="S243" s="24" t="n"/>
      <c r="T243" s="24" t="n"/>
      <c r="U243" s="11" t="n">
        <v>0</v>
      </c>
      <c r="V243" s="12" t="n">
        <v>0</v>
      </c>
      <c r="W243" s="11" t="inlineStr">
        <is>
          <t>AzynG1VKk2kQq1WeH</t>
        </is>
      </c>
      <c r="X243" s="12" t="n"/>
      <c r="Y243" s="11" t="n"/>
      <c r="Z243" s="11" t="inlineStr">
        <is>
          <t>gbp</t>
        </is>
      </c>
    </row>
    <row r="244">
      <c r="A244" s="8" t="inlineStr">
        <is>
          <t>d0e7a241-3769-4a06-85db-748c67a62182</t>
        </is>
      </c>
      <c r="B244" s="8" t="inlineStr">
        <is>
          <t>Saxena spa salon gsisg</t>
        </is>
      </c>
      <c r="C244" s="23" t="n">
        <v>46169</v>
      </c>
      <c r="D244" s="8" t="inlineStr">
        <is>
          <t>2026-05</t>
        </is>
      </c>
      <c r="E244" s="8" t="b">
        <v>1</v>
      </c>
      <c r="F244" s="8" t="b">
        <v>1</v>
      </c>
      <c r="G244" s="8" t="b">
        <v>1</v>
      </c>
      <c r="H244" s="8" t="b">
        <v>1</v>
      </c>
      <c r="I244" s="8" t="b">
        <v>1</v>
      </c>
      <c r="J244" s="8" t="b">
        <v>0</v>
      </c>
      <c r="K244" s="8" t="b">
        <v>1</v>
      </c>
      <c r="L244" s="8" t="b">
        <v>1</v>
      </c>
      <c r="M244" s="8" t="b">
        <v>1</v>
      </c>
      <c r="N244" s="8" t="b">
        <v>1</v>
      </c>
      <c r="O244" s="8" t="n">
        <v>9</v>
      </c>
      <c r="P244" s="8" t="n">
        <v>7</v>
      </c>
      <c r="Q244" s="8" t="n">
        <v>0</v>
      </c>
      <c r="R244" s="8" t="n"/>
      <c r="S244" s="23" t="n">
        <v>46169</v>
      </c>
      <c r="T244" s="23" t="n">
        <v>46169</v>
      </c>
      <c r="U244" s="8" t="n">
        <v>2</v>
      </c>
      <c r="V244" s="9" t="n">
        <v>352.99</v>
      </c>
      <c r="W244" s="8" t="inlineStr">
        <is>
          <t>AzZS39VKnY1T7MR3</t>
        </is>
      </c>
      <c r="X244" s="9" t="n"/>
      <c r="Y244" s="8" t="n"/>
      <c r="Z244" s="8" t="inlineStr">
        <is>
          <t>gbp_logs</t>
        </is>
      </c>
    </row>
    <row r="245">
      <c r="A245" s="11" t="inlineStr">
        <is>
          <t>08d8039d-a29b-4bad-b276-d55f193990fa</t>
        </is>
      </c>
      <c r="B245" s="11" t="inlineStr">
        <is>
          <t>Flanker42 Data Solutions</t>
        </is>
      </c>
      <c r="C245" s="24" t="n">
        <v>46169</v>
      </c>
      <c r="D245" s="11" t="inlineStr">
        <is>
          <t>2026-05</t>
        </is>
      </c>
      <c r="E245" s="11" t="b">
        <v>1</v>
      </c>
      <c r="F245" s="11" t="b">
        <v>1</v>
      </c>
      <c r="G245" s="11" t="b">
        <v>1</v>
      </c>
      <c r="H245" s="11" t="b">
        <v>1</v>
      </c>
      <c r="I245" s="11" t="b">
        <v>1</v>
      </c>
      <c r="J245" s="11" t="b">
        <v>0</v>
      </c>
      <c r="K245" s="11" t="b">
        <v>1</v>
      </c>
      <c r="L245" s="11" t="b">
        <v>1</v>
      </c>
      <c r="M245" s="11" t="b">
        <v>1</v>
      </c>
      <c r="N245" s="11" t="b">
        <v>1</v>
      </c>
      <c r="O245" s="11" t="n">
        <v>2</v>
      </c>
      <c r="P245" s="11" t="n">
        <v>1</v>
      </c>
      <c r="Q245" s="11" t="n">
        <v>0</v>
      </c>
      <c r="R245" s="11" t="n"/>
      <c r="S245" s="24" t="n">
        <v>46169</v>
      </c>
      <c r="T245" s="24" t="n">
        <v>46197</v>
      </c>
      <c r="U245" s="11" t="n">
        <v>1</v>
      </c>
      <c r="V245" s="12" t="n">
        <v>20</v>
      </c>
      <c r="W245" s="11" t="inlineStr">
        <is>
          <t>AzZkSCVKoIjcxjyW</t>
        </is>
      </c>
      <c r="X245" s="12" t="n"/>
      <c r="Y245" s="11" t="inlineStr">
        <is>
          <t>in_trial</t>
        </is>
      </c>
      <c r="Z245" s="11" t="inlineStr">
        <is>
          <t>gbp_logs</t>
        </is>
      </c>
    </row>
    <row r="246">
      <c r="A246" s="8" t="inlineStr">
        <is>
          <t>acad0f36-4617-4328-9c14-f8f04a598f69</t>
        </is>
      </c>
      <c r="B246" s="8" t="inlineStr">
        <is>
          <t>Donna Skin and Body Care</t>
        </is>
      </c>
      <c r="C246" s="23" t="n">
        <v>46169</v>
      </c>
      <c r="D246" s="8" t="inlineStr">
        <is>
          <t>2026-05</t>
        </is>
      </c>
      <c r="E246" s="8" t="b">
        <v>1</v>
      </c>
      <c r="F246" s="8" t="b">
        <v>1</v>
      </c>
      <c r="G246" s="8" t="b">
        <v>1</v>
      </c>
      <c r="H246" s="8" t="b">
        <v>1</v>
      </c>
      <c r="I246" s="8" t="b">
        <v>1</v>
      </c>
      <c r="J246" s="8" t="b">
        <v>1</v>
      </c>
      <c r="K246" s="8" t="b">
        <v>0</v>
      </c>
      <c r="L246" s="8" t="b">
        <v>1</v>
      </c>
      <c r="M246" s="8" t="b">
        <v>1</v>
      </c>
      <c r="N246" s="8" t="b">
        <v>1</v>
      </c>
      <c r="O246" s="8" t="n">
        <v>104</v>
      </c>
      <c r="P246" s="8" t="n">
        <v>6</v>
      </c>
      <c r="Q246" s="8" t="n">
        <v>0</v>
      </c>
      <c r="R246" s="8" t="n"/>
      <c r="S246" s="23" t="n">
        <v>46171</v>
      </c>
      <c r="T246" s="23" t="n">
        <v>46237</v>
      </c>
      <c r="U246" s="8" t="n">
        <v>0</v>
      </c>
      <c r="V246" s="9" t="n">
        <v>0</v>
      </c>
      <c r="W246" s="8" t="inlineStr">
        <is>
          <t>cus_Poh76IIXOBeYB0</t>
        </is>
      </c>
      <c r="X246" s="9" t="n">
        <v>150</v>
      </c>
      <c r="Y246" s="8" t="inlineStr">
        <is>
          <t>active</t>
        </is>
      </c>
      <c r="Z246" s="8" t="inlineStr">
        <is>
          <t>gbp</t>
        </is>
      </c>
    </row>
    <row r="247">
      <c r="A247" s="11" t="inlineStr">
        <is>
          <t>4e194d79-0f09-4952-9d1f-7bfc1cf936bf</t>
        </is>
      </c>
      <c r="B247" s="11" t="inlineStr">
        <is>
          <t>Saxena spa salon gsisg</t>
        </is>
      </c>
      <c r="C247" s="24" t="n">
        <v>46170</v>
      </c>
      <c r="D247" s="11" t="inlineStr">
        <is>
          <t>2026-05</t>
        </is>
      </c>
      <c r="E247" s="11" t="b">
        <v>1</v>
      </c>
      <c r="F247" s="11" t="b">
        <v>1</v>
      </c>
      <c r="G247" s="11" t="b">
        <v>1</v>
      </c>
      <c r="H247" s="11" t="b">
        <v>1</v>
      </c>
      <c r="I247" s="11" t="b">
        <v>1</v>
      </c>
      <c r="J247" s="11" t="b">
        <v>0</v>
      </c>
      <c r="K247" s="11" t="b">
        <v>1</v>
      </c>
      <c r="L247" s="11" t="b">
        <v>1</v>
      </c>
      <c r="M247" s="11" t="b">
        <v>1</v>
      </c>
      <c r="N247" s="11" t="b">
        <v>1</v>
      </c>
      <c r="O247" s="11" t="n">
        <v>1</v>
      </c>
      <c r="P247" s="11" t="n">
        <v>0</v>
      </c>
      <c r="Q247" s="11" t="n">
        <v>0</v>
      </c>
      <c r="R247" s="11" t="n"/>
      <c r="S247" s="24" t="n">
        <v>46170</v>
      </c>
      <c r="T247" s="24" t="n">
        <v>46170</v>
      </c>
      <c r="U247" s="11" t="n">
        <v>1</v>
      </c>
      <c r="V247" s="12" t="n">
        <v>65</v>
      </c>
      <c r="W247" s="11" t="inlineStr">
        <is>
          <t>AzZRiaVKvxpDc4cyY</t>
        </is>
      </c>
      <c r="X247" s="12" t="n"/>
      <c r="Y247" s="11" t="n"/>
      <c r="Z247" s="11" t="inlineStr">
        <is>
          <t>gbp_logs</t>
        </is>
      </c>
    </row>
    <row r="248">
      <c r="A248" s="8" t="inlineStr">
        <is>
          <t>a85909d6-8acb-4dbd-8122-7b95eae91a7d</t>
        </is>
      </c>
      <c r="B248" s="8" t="inlineStr">
        <is>
          <t>Saxena spa salon gsisg</t>
        </is>
      </c>
      <c r="C248" s="23" t="n">
        <v>46171</v>
      </c>
      <c r="D248" s="8" t="inlineStr">
        <is>
          <t>2026-05</t>
        </is>
      </c>
      <c r="E248" s="8" t="b">
        <v>1</v>
      </c>
      <c r="F248" s="8" t="b">
        <v>1</v>
      </c>
      <c r="G248" s="8" t="b">
        <v>1</v>
      </c>
      <c r="H248" s="8" t="b">
        <v>1</v>
      </c>
      <c r="I248" s="8" t="b">
        <v>1</v>
      </c>
      <c r="J248" s="8" t="b">
        <v>0</v>
      </c>
      <c r="K248" s="8" t="b">
        <v>1</v>
      </c>
      <c r="L248" s="8" t="b">
        <v>1</v>
      </c>
      <c r="M248" s="8" t="b">
        <v>1</v>
      </c>
      <c r="N248" s="8" t="b">
        <v>1</v>
      </c>
      <c r="O248" s="8" t="n">
        <v>2</v>
      </c>
      <c r="P248" s="8" t="n">
        <v>2</v>
      </c>
      <c r="Q248" s="8" t="n">
        <v>0</v>
      </c>
      <c r="R248" s="8" t="n"/>
      <c r="S248" s="23" t="n">
        <v>46171</v>
      </c>
      <c r="T248" s="23" t="n">
        <v>46171</v>
      </c>
      <c r="U248" s="8" t="n">
        <v>0</v>
      </c>
      <c r="V248" s="9" t="n">
        <v>0</v>
      </c>
      <c r="W248" s="8" t="inlineStr">
        <is>
          <t>Azq7wQVKzAqtwNbU</t>
        </is>
      </c>
      <c r="X248" s="9" t="n"/>
      <c r="Y248" s="8" t="n"/>
      <c r="Z248" s="8" t="inlineStr">
        <is>
          <t>gbp_logs</t>
        </is>
      </c>
    </row>
    <row r="249">
      <c r="A249" s="11" t="inlineStr">
        <is>
          <t>4774e2ec-4f02-4404-ac4e-798d1fb1a894</t>
        </is>
      </c>
      <c r="B249" s="11" t="inlineStr">
        <is>
          <t>Saxena Bike Accessories</t>
        </is>
      </c>
      <c r="C249" s="24" t="n">
        <v>46171</v>
      </c>
      <c r="D249" s="11" t="inlineStr">
        <is>
          <t>2026-05</t>
        </is>
      </c>
      <c r="E249" s="11" t="b">
        <v>1</v>
      </c>
      <c r="F249" s="11" t="b">
        <v>1</v>
      </c>
      <c r="G249" s="11" t="b">
        <v>1</v>
      </c>
      <c r="H249" s="11" t="b">
        <v>1</v>
      </c>
      <c r="I249" s="11" t="b">
        <v>1</v>
      </c>
      <c r="J249" s="11" t="b">
        <v>0</v>
      </c>
      <c r="K249" s="11" t="b">
        <v>1</v>
      </c>
      <c r="L249" s="11" t="b">
        <v>1</v>
      </c>
      <c r="M249" s="11" t="b">
        <v>1</v>
      </c>
      <c r="N249" s="11" t="b">
        <v>1</v>
      </c>
      <c r="O249" s="11" t="n">
        <v>0</v>
      </c>
      <c r="P249" s="11" t="n">
        <v>0</v>
      </c>
      <c r="Q249" s="11" t="n">
        <v>0</v>
      </c>
      <c r="R249" s="11" t="n"/>
      <c r="S249" s="24" t="n"/>
      <c r="T249" s="24" t="n"/>
      <c r="U249" s="11" t="n">
        <v>0</v>
      </c>
      <c r="V249" s="12" t="n">
        <v>0</v>
      </c>
      <c r="W249" s="11" t="inlineStr">
        <is>
          <t>169z4RVKzyDjTloQ</t>
        </is>
      </c>
      <c r="X249" s="12" t="n"/>
      <c r="Y249" s="11" t="n"/>
      <c r="Z249" s="11" t="inlineStr">
        <is>
          <t>gbp_logs</t>
        </is>
      </c>
    </row>
    <row r="250">
      <c r="A250" s="8" t="inlineStr">
        <is>
          <t>1f283a17-c02b-4fb3-b56d-4979f84342e8</t>
        </is>
      </c>
      <c r="B250" s="8" t="inlineStr">
        <is>
          <t>Natasha servcice centre</t>
        </is>
      </c>
      <c r="C250" s="23" t="n">
        <v>46171</v>
      </c>
      <c r="D250" s="8" t="inlineStr">
        <is>
          <t>2026-05</t>
        </is>
      </c>
      <c r="E250" s="8" t="b">
        <v>1</v>
      </c>
      <c r="F250" s="8" t="b">
        <v>1</v>
      </c>
      <c r="G250" s="8" t="b">
        <v>1</v>
      </c>
      <c r="H250" s="8" t="b">
        <v>1</v>
      </c>
      <c r="I250" s="8" t="b">
        <v>1</v>
      </c>
      <c r="J250" s="8" t="b">
        <v>0</v>
      </c>
      <c r="K250" s="8" t="b">
        <v>1</v>
      </c>
      <c r="L250" s="8" t="b">
        <v>1</v>
      </c>
      <c r="M250" s="8" t="b">
        <v>1</v>
      </c>
      <c r="N250" s="8" t="b">
        <v>1</v>
      </c>
      <c r="O250" s="8" t="n">
        <v>0</v>
      </c>
      <c r="P250" s="8" t="n">
        <v>0</v>
      </c>
      <c r="Q250" s="8" t="n">
        <v>0</v>
      </c>
      <c r="R250" s="8" t="n"/>
      <c r="S250" s="23" t="n"/>
      <c r="T250" s="23" t="n"/>
      <c r="U250" s="8" t="n">
        <v>0</v>
      </c>
      <c r="V250" s="9" t="n">
        <v>0</v>
      </c>
      <c r="W250" s="8" t="inlineStr">
        <is>
          <t>AzyUxeVL0NyC9xNr</t>
        </is>
      </c>
      <c r="X250" s="9" t="n"/>
      <c r="Y250" s="8" t="n"/>
      <c r="Z250" s="8" t="inlineStr">
        <is>
          <t>chargebee_company</t>
        </is>
      </c>
    </row>
    <row r="251">
      <c r="A251" s="11" t="inlineStr">
        <is>
          <t>757546e5-e86a-4b93-bd9a-6930b656af9e</t>
        </is>
      </c>
      <c r="B251" s="11" t="inlineStr">
        <is>
          <t>Saxena Bakers</t>
        </is>
      </c>
      <c r="C251" s="24" t="n">
        <v>46171</v>
      </c>
      <c r="D251" s="11" t="inlineStr">
        <is>
          <t>2026-05</t>
        </is>
      </c>
      <c r="E251" s="11" t="b">
        <v>1</v>
      </c>
      <c r="F251" s="11" t="b">
        <v>1</v>
      </c>
      <c r="G251" s="11" t="b">
        <v>1</v>
      </c>
      <c r="H251" s="11" t="b">
        <v>1</v>
      </c>
      <c r="I251" s="11" t="b">
        <v>1</v>
      </c>
      <c r="J251" s="11" t="b">
        <v>0</v>
      </c>
      <c r="K251" s="11" t="b">
        <v>1</v>
      </c>
      <c r="L251" s="11" t="b">
        <v>1</v>
      </c>
      <c r="M251" s="11" t="b">
        <v>1</v>
      </c>
      <c r="N251" s="11" t="b">
        <v>1</v>
      </c>
      <c r="O251" s="11" t="n">
        <v>19</v>
      </c>
      <c r="P251" s="11" t="n">
        <v>0</v>
      </c>
      <c r="Q251" s="11" t="n">
        <v>0</v>
      </c>
      <c r="R251" s="11" t="n"/>
      <c r="S251" s="24" t="n">
        <v>46174</v>
      </c>
      <c r="T251" s="24" t="n">
        <v>46227</v>
      </c>
      <c r="U251" s="11" t="n">
        <v>1</v>
      </c>
      <c r="V251" s="12" t="n">
        <v>1.2</v>
      </c>
      <c r="W251" s="11" t="n"/>
      <c r="X251" s="12" t="n"/>
      <c r="Y251" s="11" t="n"/>
      <c r="Z251" s="11" t="inlineStr">
        <is>
          <t>gbp</t>
        </is>
      </c>
    </row>
    <row r="252">
      <c r="A252" s="8" t="inlineStr">
        <is>
          <t>cab01f10-81c3-4a96-911c-9b2be8353aab</t>
        </is>
      </c>
      <c r="B252" s="8" t="inlineStr">
        <is>
          <t>Stonks Salon</t>
        </is>
      </c>
      <c r="C252" s="23" t="n">
        <v>46171</v>
      </c>
      <c r="D252" s="8" t="inlineStr">
        <is>
          <t>2026-05</t>
        </is>
      </c>
      <c r="E252" s="8" t="b">
        <v>1</v>
      </c>
      <c r="F252" s="8" t="b">
        <v>1</v>
      </c>
      <c r="G252" s="8" t="b">
        <v>1</v>
      </c>
      <c r="H252" s="8" t="b">
        <v>1</v>
      </c>
      <c r="I252" s="8" t="b">
        <v>1</v>
      </c>
      <c r="J252" s="8" t="b">
        <v>0</v>
      </c>
      <c r="K252" s="8" t="b">
        <v>1</v>
      </c>
      <c r="L252" s="8" t="b">
        <v>1</v>
      </c>
      <c r="M252" s="8" t="b">
        <v>1</v>
      </c>
      <c r="N252" s="8" t="b">
        <v>1</v>
      </c>
      <c r="O252" s="8" t="n">
        <v>2</v>
      </c>
      <c r="P252" s="8" t="n">
        <v>2</v>
      </c>
      <c r="Q252" s="8" t="n">
        <v>0</v>
      </c>
      <c r="R252" s="8" t="n"/>
      <c r="S252" s="23" t="n">
        <v>46171</v>
      </c>
      <c r="T252" s="23" t="n">
        <v>46175</v>
      </c>
      <c r="U252" s="8" t="n">
        <v>0</v>
      </c>
      <c r="V252" s="9" t="n">
        <v>0</v>
      </c>
      <c r="W252" s="8" t="inlineStr">
        <is>
          <t>16CbqaVL1vUrr1i6T</t>
        </is>
      </c>
      <c r="X252" s="9" t="n"/>
      <c r="Y252" s="8" t="inlineStr">
        <is>
          <t>cancelled</t>
        </is>
      </c>
      <c r="Z252" s="8" t="inlineStr">
        <is>
          <t>gbp</t>
        </is>
      </c>
    </row>
    <row r="253">
      <c r="A253" s="11" t="inlineStr">
        <is>
          <t>24f9a254-8a0d-4618-81db-cd4d36ad56f8</t>
        </is>
      </c>
      <c r="B253" s="11" t="inlineStr">
        <is>
          <t>[PROD] WIN ZOCA TESTER</t>
        </is>
      </c>
      <c r="C253" s="24" t="n">
        <v>46172</v>
      </c>
      <c r="D253" s="11" t="inlineStr">
        <is>
          <t>2026-05</t>
        </is>
      </c>
      <c r="E253" s="11" t="b">
        <v>1</v>
      </c>
      <c r="F253" s="11" t="b">
        <v>1</v>
      </c>
      <c r="G253" s="11" t="b">
        <v>1</v>
      </c>
      <c r="H253" s="11" t="b">
        <v>1</v>
      </c>
      <c r="I253" s="11" t="b">
        <v>1</v>
      </c>
      <c r="J253" s="11" t="b">
        <v>0</v>
      </c>
      <c r="K253" s="11" t="b">
        <v>1</v>
      </c>
      <c r="L253" s="11" t="b">
        <v>1</v>
      </c>
      <c r="M253" s="11" t="b">
        <v>1</v>
      </c>
      <c r="N253" s="11" t="b">
        <v>1</v>
      </c>
      <c r="O253" s="11" t="n">
        <v>0</v>
      </c>
      <c r="P253" s="11" t="n">
        <v>0</v>
      </c>
      <c r="Q253" s="11" t="n">
        <v>0</v>
      </c>
      <c r="R253" s="11" t="n"/>
      <c r="S253" s="24" t="n"/>
      <c r="T253" s="24" t="n"/>
      <c r="U253" s="11" t="n">
        <v>0</v>
      </c>
      <c r="V253" s="12" t="n">
        <v>0</v>
      </c>
      <c r="W253" s="11" t="inlineStr">
        <is>
          <t>16BTvFVL5fKlc3FV8</t>
        </is>
      </c>
      <c r="X253" s="12" t="n"/>
      <c r="Y253" s="11" t="inlineStr">
        <is>
          <t>cancelled</t>
        </is>
      </c>
      <c r="Z253" s="11" t="inlineStr">
        <is>
          <t>gbp</t>
        </is>
      </c>
    </row>
    <row r="254">
      <c r="A254" s="8" t="inlineStr">
        <is>
          <t>f654faf2-fbf3-4565-bd85-912a49cd8880</t>
        </is>
      </c>
      <c r="B254" s="8" t="inlineStr">
        <is>
          <t>cyan haircuts</t>
        </is>
      </c>
      <c r="C254" s="23" t="n">
        <v>46172</v>
      </c>
      <c r="D254" s="8" t="inlineStr">
        <is>
          <t>2026-05</t>
        </is>
      </c>
      <c r="E254" s="8" t="b">
        <v>1</v>
      </c>
      <c r="F254" s="8" t="b">
        <v>1</v>
      </c>
      <c r="G254" s="8" t="b">
        <v>1</v>
      </c>
      <c r="H254" s="8" t="b">
        <v>1</v>
      </c>
      <c r="I254" s="8" t="b">
        <v>1</v>
      </c>
      <c r="J254" s="8" t="b">
        <v>0</v>
      </c>
      <c r="K254" s="8" t="b">
        <v>1</v>
      </c>
      <c r="L254" s="8" t="b">
        <v>1</v>
      </c>
      <c r="M254" s="8" t="b">
        <v>1</v>
      </c>
      <c r="N254" s="8" t="b">
        <v>1</v>
      </c>
      <c r="O254" s="8" t="n">
        <v>3</v>
      </c>
      <c r="P254" s="8" t="n">
        <v>0</v>
      </c>
      <c r="Q254" s="8" t="n">
        <v>0</v>
      </c>
      <c r="R254" s="8" t="n"/>
      <c r="S254" s="23" t="n">
        <v>46172</v>
      </c>
      <c r="T254" s="23" t="n">
        <v>46175</v>
      </c>
      <c r="U254" s="8" t="n">
        <v>3</v>
      </c>
      <c r="V254" s="9" t="n">
        <v>520</v>
      </c>
      <c r="W254" s="8" t="inlineStr">
        <is>
          <t>16CbqaVL6sjjt3jQP</t>
        </is>
      </c>
      <c r="X254" s="9" t="n"/>
      <c r="Y254" s="8" t="inlineStr">
        <is>
          <t>cancelled</t>
        </is>
      </c>
      <c r="Z254" s="8" t="inlineStr">
        <is>
          <t>gbp</t>
        </is>
      </c>
    </row>
    <row r="255">
      <c r="A255" s="11" t="inlineStr">
        <is>
          <t>d5dcbbd1-d440-4ce7-a574-0d02966a522e</t>
        </is>
      </c>
      <c r="B255" s="11" t="inlineStr">
        <is>
          <t>[TEMP] WIN ZOCA PROD</t>
        </is>
      </c>
      <c r="C255" s="24" t="n">
        <v>46172</v>
      </c>
      <c r="D255" s="11" t="inlineStr">
        <is>
          <t>2026-05</t>
        </is>
      </c>
      <c r="E255" s="11" t="b">
        <v>1</v>
      </c>
      <c r="F255" s="11" t="b">
        <v>1</v>
      </c>
      <c r="G255" s="11" t="b">
        <v>1</v>
      </c>
      <c r="H255" s="11" t="b">
        <v>1</v>
      </c>
      <c r="I255" s="11" t="b">
        <v>1</v>
      </c>
      <c r="J255" s="11" t="b">
        <v>0</v>
      </c>
      <c r="K255" s="11" t="b">
        <v>1</v>
      </c>
      <c r="L255" s="11" t="b">
        <v>1</v>
      </c>
      <c r="M255" s="11" t="b">
        <v>1</v>
      </c>
      <c r="N255" s="11" t="b">
        <v>1</v>
      </c>
      <c r="O255" s="11" t="n">
        <v>2</v>
      </c>
      <c r="P255" s="11" t="n">
        <v>2</v>
      </c>
      <c r="Q255" s="11" t="n">
        <v>0</v>
      </c>
      <c r="R255" s="11" t="n"/>
      <c r="S255" s="24" t="n">
        <v>46172</v>
      </c>
      <c r="T255" s="24" t="n">
        <v>46172</v>
      </c>
      <c r="U255" s="11" t="n">
        <v>0</v>
      </c>
      <c r="V255" s="12" t="n">
        <v>0</v>
      </c>
      <c r="W255" s="11" t="inlineStr">
        <is>
          <t>AzqUyuVL71mDd46JJ</t>
        </is>
      </c>
      <c r="X255" s="12" t="n"/>
      <c r="Y255" s="11" t="inlineStr">
        <is>
          <t>cancelled</t>
        </is>
      </c>
      <c r="Z255" s="11" t="inlineStr">
        <is>
          <t>gbp</t>
        </is>
      </c>
    </row>
    <row r="256">
      <c r="A256" s="8" t="inlineStr">
        <is>
          <t>7e98020c-e0be-4791-96f2-bfddd8ae59c3</t>
        </is>
      </c>
      <c r="B256" s="8" t="inlineStr">
        <is>
          <t>Saxena spa salon gsisg</t>
        </is>
      </c>
      <c r="C256" s="23" t="n">
        <v>46174</v>
      </c>
      <c r="D256" s="8" t="inlineStr">
        <is>
          <t>2026-06</t>
        </is>
      </c>
      <c r="E256" s="8" t="b">
        <v>1</v>
      </c>
      <c r="F256" s="8" t="b">
        <v>1</v>
      </c>
      <c r="G256" s="8" t="b">
        <v>1</v>
      </c>
      <c r="H256" s="8" t="b">
        <v>1</v>
      </c>
      <c r="I256" s="8" t="b">
        <v>1</v>
      </c>
      <c r="J256" s="8" t="b">
        <v>0</v>
      </c>
      <c r="K256" s="8" t="b">
        <v>1</v>
      </c>
      <c r="L256" s="8" t="b">
        <v>1</v>
      </c>
      <c r="M256" s="8" t="b">
        <v>1</v>
      </c>
      <c r="N256" s="8" t="b">
        <v>1</v>
      </c>
      <c r="O256" s="8" t="n">
        <v>2</v>
      </c>
      <c r="P256" s="8" t="n">
        <v>2</v>
      </c>
      <c r="Q256" s="8" t="n">
        <v>0</v>
      </c>
      <c r="R256" s="8" t="n"/>
      <c r="S256" s="23" t="n">
        <v>46174</v>
      </c>
      <c r="T256" s="23" t="n">
        <v>46174</v>
      </c>
      <c r="U256" s="8" t="n">
        <v>1</v>
      </c>
      <c r="V256" s="9" t="n">
        <v>110</v>
      </c>
      <c r="W256" s="8" t="inlineStr">
        <is>
          <t>16CaoRVLIU6xs1Vw9</t>
        </is>
      </c>
      <c r="X256" s="9" t="n"/>
      <c r="Y256" s="8" t="n"/>
      <c r="Z256" s="8" t="inlineStr">
        <is>
          <t>gbp_logs</t>
        </is>
      </c>
    </row>
    <row r="257">
      <c r="A257" s="11" t="inlineStr">
        <is>
          <t>3682d74b-2864-4a76-a2d8-77cc9d65070a</t>
        </is>
      </c>
      <c r="B257" s="11" t="inlineStr">
        <is>
          <t>Blue Cherry Salon</t>
        </is>
      </c>
      <c r="C257" s="24" t="n">
        <v>46174</v>
      </c>
      <c r="D257" s="11" t="inlineStr">
        <is>
          <t>2026-06</t>
        </is>
      </c>
      <c r="E257" s="11" t="b">
        <v>1</v>
      </c>
      <c r="F257" s="11" t="b">
        <v>1</v>
      </c>
      <c r="G257" s="11" t="b">
        <v>1</v>
      </c>
      <c r="H257" s="11" t="b">
        <v>1</v>
      </c>
      <c r="I257" s="11" t="b">
        <v>1</v>
      </c>
      <c r="J257" s="11" t="b">
        <v>1</v>
      </c>
      <c r="K257" s="11" t="b">
        <v>0</v>
      </c>
      <c r="L257" s="11" t="b">
        <v>1</v>
      </c>
      <c r="M257" s="11" t="b">
        <v>1</v>
      </c>
      <c r="N257" s="11" t="b">
        <v>1</v>
      </c>
      <c r="O257" s="11" t="n">
        <v>86</v>
      </c>
      <c r="P257" s="11" t="n">
        <v>7</v>
      </c>
      <c r="Q257" s="11" t="n">
        <v>0</v>
      </c>
      <c r="R257" s="11" t="n"/>
      <c r="S257" s="24" t="n">
        <v>46174</v>
      </c>
      <c r="T257" s="24" t="n">
        <v>46232</v>
      </c>
      <c r="U257" s="11" t="n">
        <v>42</v>
      </c>
      <c r="V257" s="12" t="n">
        <v>3952.2</v>
      </c>
      <c r="W257" s="11" t="inlineStr">
        <is>
          <t>AzqeS6VK0sbBK3rHV</t>
        </is>
      </c>
      <c r="X257" s="12" t="n"/>
      <c r="Y257" s="11" t="n"/>
      <c r="Z257" s="11" t="inlineStr">
        <is>
          <t>gbp</t>
        </is>
      </c>
    </row>
    <row r="258">
      <c r="A258" s="8" t="inlineStr">
        <is>
          <t>da4a82a5-db25-4750-8fa3-34f2dfc3d24e</t>
        </is>
      </c>
      <c r="B258" s="8" t="inlineStr">
        <is>
          <t>Abhishek hair salon</t>
        </is>
      </c>
      <c r="C258" s="23" t="n">
        <v>46174</v>
      </c>
      <c r="D258" s="8" t="inlineStr">
        <is>
          <t>2026-06</t>
        </is>
      </c>
      <c r="E258" s="8" t="b">
        <v>1</v>
      </c>
      <c r="F258" s="8" t="b">
        <v>1</v>
      </c>
      <c r="G258" s="8" t="b">
        <v>1</v>
      </c>
      <c r="H258" s="8" t="b">
        <v>1</v>
      </c>
      <c r="I258" s="8" t="b">
        <v>1</v>
      </c>
      <c r="J258" s="8" t="b">
        <v>0</v>
      </c>
      <c r="K258" s="8" t="b">
        <v>1</v>
      </c>
      <c r="L258" s="8" t="b">
        <v>1</v>
      </c>
      <c r="M258" s="8" t="b">
        <v>1</v>
      </c>
      <c r="N258" s="8" t="b">
        <v>1</v>
      </c>
      <c r="O258" s="8" t="n">
        <v>2</v>
      </c>
      <c r="P258" s="8" t="n">
        <v>2</v>
      </c>
      <c r="Q258" s="8" t="n">
        <v>0</v>
      </c>
      <c r="R258" s="8" t="n"/>
      <c r="S258" s="23" t="n">
        <v>46176</v>
      </c>
      <c r="T258" s="23" t="n">
        <v>46182</v>
      </c>
      <c r="U258" s="8" t="n">
        <v>1</v>
      </c>
      <c r="V258" s="9" t="n">
        <v>100</v>
      </c>
      <c r="W258" s="8" t="inlineStr">
        <is>
          <t>16A5HgVKGGdyC1ImO</t>
        </is>
      </c>
      <c r="X258" s="9" t="n"/>
      <c r="Y258" s="8" t="inlineStr">
        <is>
          <t>cancelled</t>
        </is>
      </c>
      <c r="Z258" s="8" t="inlineStr">
        <is>
          <t>gbp</t>
        </is>
      </c>
    </row>
    <row r="259">
      <c r="A259" s="11" t="inlineStr">
        <is>
          <t>0599c4e4-7c7e-4c92-88fd-428ec7616306</t>
        </is>
      </c>
      <c r="B259" s="11" t="inlineStr">
        <is>
          <t>[PROD] Zoca SALON</t>
        </is>
      </c>
      <c r="C259" s="24" t="n">
        <v>46174</v>
      </c>
      <c r="D259" s="11" t="inlineStr">
        <is>
          <t>2026-06</t>
        </is>
      </c>
      <c r="E259" s="11" t="b">
        <v>1</v>
      </c>
      <c r="F259" s="11" t="b">
        <v>1</v>
      </c>
      <c r="G259" s="11" t="b">
        <v>1</v>
      </c>
      <c r="H259" s="11" t="b">
        <v>1</v>
      </c>
      <c r="I259" s="11" t="b">
        <v>1</v>
      </c>
      <c r="J259" s="11" t="b">
        <v>0</v>
      </c>
      <c r="K259" s="11" t="b">
        <v>1</v>
      </c>
      <c r="L259" s="11" t="b">
        <v>1</v>
      </c>
      <c r="M259" s="11" t="b">
        <v>1</v>
      </c>
      <c r="N259" s="11" t="b">
        <v>1</v>
      </c>
      <c r="O259" s="11" t="n">
        <v>22</v>
      </c>
      <c r="P259" s="11" t="n">
        <v>15</v>
      </c>
      <c r="Q259" s="11" t="n">
        <v>0</v>
      </c>
      <c r="R259" s="11" t="n"/>
      <c r="S259" s="24" t="n">
        <v>46174</v>
      </c>
      <c r="T259" s="24" t="n">
        <v>46194</v>
      </c>
      <c r="U259" s="11" t="n">
        <v>0</v>
      </c>
      <c r="V259" s="12" t="n">
        <v>0</v>
      </c>
      <c r="W259" s="11" t="inlineStr">
        <is>
          <t>16BQFvVLJBenf27np</t>
        </is>
      </c>
      <c r="X259" s="12" t="n"/>
      <c r="Y259" s="11" t="inlineStr">
        <is>
          <t>cancelled</t>
        </is>
      </c>
      <c r="Z259" s="11" t="inlineStr">
        <is>
          <t>gbp_logs</t>
        </is>
      </c>
    </row>
    <row r="260">
      <c r="A260" s="8" t="inlineStr">
        <is>
          <t>c0a80ca3-d5d2-49f2-8257-e340be33c78c</t>
        </is>
      </c>
      <c r="B260" s="8" t="inlineStr">
        <is>
          <t>VinyaK Facial care</t>
        </is>
      </c>
      <c r="C260" s="23" t="n">
        <v>46174</v>
      </c>
      <c r="D260" s="8" t="inlineStr">
        <is>
          <t>2026-06</t>
        </is>
      </c>
      <c r="E260" s="8" t="b">
        <v>1</v>
      </c>
      <c r="F260" s="8" t="b">
        <v>1</v>
      </c>
      <c r="G260" s="8" t="b">
        <v>1</v>
      </c>
      <c r="H260" s="8" t="b">
        <v>1</v>
      </c>
      <c r="I260" s="8" t="b">
        <v>1</v>
      </c>
      <c r="J260" s="8" t="b">
        <v>0</v>
      </c>
      <c r="K260" s="8" t="b">
        <v>1</v>
      </c>
      <c r="L260" s="8" t="b">
        <v>1</v>
      </c>
      <c r="M260" s="8" t="b">
        <v>1</v>
      </c>
      <c r="N260" s="8" t="b">
        <v>1</v>
      </c>
      <c r="O260" s="8" t="n">
        <v>0</v>
      </c>
      <c r="P260" s="8" t="n">
        <v>0</v>
      </c>
      <c r="Q260" s="8" t="n">
        <v>0</v>
      </c>
      <c r="R260" s="8" t="n"/>
      <c r="S260" s="23" t="n"/>
      <c r="T260" s="23" t="n"/>
      <c r="U260" s="8" t="n">
        <v>0</v>
      </c>
      <c r="V260" s="9" t="n">
        <v>0</v>
      </c>
      <c r="W260" s="8" t="inlineStr">
        <is>
          <t>AzqVSzVLJ6Gj922jG</t>
        </is>
      </c>
      <c r="X260" s="9" t="n"/>
      <c r="Y260" s="8" t="n"/>
      <c r="Z260" s="8" t="inlineStr">
        <is>
          <t>gbp</t>
        </is>
      </c>
    </row>
    <row r="261">
      <c r="A261" s="11" t="inlineStr">
        <is>
          <t>ce90df8e-c923-4d91-91b7-352fc52fa042</t>
        </is>
      </c>
      <c r="B261" s="11" t="inlineStr">
        <is>
          <t>Mishra Saloon</t>
        </is>
      </c>
      <c r="C261" s="24" t="n">
        <v>46174</v>
      </c>
      <c r="D261" s="11" t="inlineStr">
        <is>
          <t>2026-06</t>
        </is>
      </c>
      <c r="E261" s="11" t="b">
        <v>1</v>
      </c>
      <c r="F261" s="11" t="b">
        <v>1</v>
      </c>
      <c r="G261" s="11" t="b">
        <v>1</v>
      </c>
      <c r="H261" s="11" t="b">
        <v>1</v>
      </c>
      <c r="I261" s="11" t="b">
        <v>1</v>
      </c>
      <c r="J261" s="11" t="b">
        <v>0</v>
      </c>
      <c r="K261" s="11" t="b">
        <v>1</v>
      </c>
      <c r="L261" s="11" t="b">
        <v>1</v>
      </c>
      <c r="M261" s="11" t="b">
        <v>1</v>
      </c>
      <c r="N261" s="11" t="b">
        <v>1</v>
      </c>
      <c r="O261" s="11" t="n">
        <v>0</v>
      </c>
      <c r="P261" s="11" t="n">
        <v>0</v>
      </c>
      <c r="Q261" s="11" t="n">
        <v>0</v>
      </c>
      <c r="R261" s="11" t="n"/>
      <c r="S261" s="24" t="n"/>
      <c r="T261" s="24" t="n"/>
      <c r="U261" s="11" t="n">
        <v>0</v>
      </c>
      <c r="V261" s="12" t="n">
        <v>0</v>
      </c>
      <c r="W261" s="11" t="inlineStr">
        <is>
          <t>gHBaVLKVbsW2mvr</t>
        </is>
      </c>
      <c r="X261" s="12" t="n"/>
      <c r="Y261" s="11" t="inlineStr">
        <is>
          <t>cancelled</t>
        </is>
      </c>
      <c r="Z261" s="11" t="inlineStr">
        <is>
          <t>gbp</t>
        </is>
      </c>
    </row>
    <row r="262">
      <c r="A262" s="8" t="inlineStr">
        <is>
          <t>54792e10-3078-4b48-aab9-8b3e3fdefe9f</t>
        </is>
      </c>
      <c r="B262" s="8" t="inlineStr">
        <is>
          <t>NU-DFB-PM</t>
        </is>
      </c>
      <c r="C262" s="23" t="n">
        <v>46174</v>
      </c>
      <c r="D262" s="8" t="inlineStr">
        <is>
          <t>2026-06</t>
        </is>
      </c>
      <c r="E262" s="8" t="b">
        <v>1</v>
      </c>
      <c r="F262" s="8" t="b">
        <v>1</v>
      </c>
      <c r="G262" s="8" t="b">
        <v>1</v>
      </c>
      <c r="H262" s="8" t="b">
        <v>1</v>
      </c>
      <c r="I262" s="8" t="b">
        <v>1</v>
      </c>
      <c r="J262" s="8" t="b">
        <v>0</v>
      </c>
      <c r="K262" s="8" t="b">
        <v>1</v>
      </c>
      <c r="L262" s="8" t="b">
        <v>1</v>
      </c>
      <c r="M262" s="8" t="b">
        <v>1</v>
      </c>
      <c r="N262" s="8" t="b">
        <v>1</v>
      </c>
      <c r="O262" s="8" t="n">
        <v>0</v>
      </c>
      <c r="P262" s="8" t="n">
        <v>0</v>
      </c>
      <c r="Q262" s="8" t="n">
        <v>0</v>
      </c>
      <c r="R262" s="8" t="n"/>
      <c r="S262" s="23" t="n"/>
      <c r="T262" s="23" t="n"/>
      <c r="U262" s="8" t="n">
        <v>0</v>
      </c>
      <c r="V262" s="9" t="n">
        <v>0</v>
      </c>
      <c r="W262" s="8" t="inlineStr">
        <is>
          <t>16BhntVKrD5sE2RGc</t>
        </is>
      </c>
      <c r="X262" s="9" t="n"/>
      <c r="Y262" s="8" t="n"/>
      <c r="Z262" s="8" t="inlineStr">
        <is>
          <t>gbp</t>
        </is>
      </c>
    </row>
    <row r="263">
      <c r="A263" s="11" t="inlineStr">
        <is>
          <t>3a408f97-0f25-4863-ae1a-f059dde336ba</t>
        </is>
      </c>
      <c r="B263" s="11" t="inlineStr">
        <is>
          <t>Glow Beauty Bar</t>
        </is>
      </c>
      <c r="C263" s="24" t="n">
        <v>46174</v>
      </c>
      <c r="D263" s="11" t="inlineStr">
        <is>
          <t>2026-06</t>
        </is>
      </c>
      <c r="E263" s="11" t="b">
        <v>1</v>
      </c>
      <c r="F263" s="11" t="b">
        <v>1</v>
      </c>
      <c r="G263" s="11" t="b">
        <v>1</v>
      </c>
      <c r="H263" s="11" t="b">
        <v>1</v>
      </c>
      <c r="I263" s="11" t="b">
        <v>1</v>
      </c>
      <c r="J263" s="11" t="b">
        <v>1</v>
      </c>
      <c r="K263" s="11" t="b">
        <v>1</v>
      </c>
      <c r="L263" s="11" t="b">
        <v>1</v>
      </c>
      <c r="M263" s="11" t="b">
        <v>1</v>
      </c>
      <c r="N263" s="11" t="b">
        <v>1</v>
      </c>
      <c r="O263" s="11" t="n">
        <v>8</v>
      </c>
      <c r="P263" s="11" t="n">
        <v>2</v>
      </c>
      <c r="Q263" s="11" t="n">
        <v>0</v>
      </c>
      <c r="R263" s="11" t="n"/>
      <c r="S263" s="24" t="n">
        <v>46175</v>
      </c>
      <c r="T263" s="24" t="n">
        <v>46234</v>
      </c>
      <c r="U263" s="11" t="n">
        <v>0</v>
      </c>
      <c r="V263" s="12" t="n">
        <v>0</v>
      </c>
      <c r="W263" s="11" t="inlineStr">
        <is>
          <t>AzykNvVLKf3tg2rDT</t>
        </is>
      </c>
      <c r="X263" s="12" t="n"/>
      <c r="Y263" s="11" t="inlineStr">
        <is>
          <t>in_trial</t>
        </is>
      </c>
      <c r="Z263" s="11" t="inlineStr">
        <is>
          <t>gbp</t>
        </is>
      </c>
    </row>
    <row r="264">
      <c r="A264" s="8" t="inlineStr">
        <is>
          <t>84f2f47f-41d2-4847-860a-1f1c7770cced</t>
        </is>
      </c>
      <c r="B264" s="8" t="inlineStr">
        <is>
          <t>Saxena Bike Accessories</t>
        </is>
      </c>
      <c r="C264" s="23" t="n">
        <v>46175</v>
      </c>
      <c r="D264" s="8" t="inlineStr">
        <is>
          <t>2026-06</t>
        </is>
      </c>
      <c r="E264" s="8" t="b">
        <v>1</v>
      </c>
      <c r="F264" s="8" t="b">
        <v>1</v>
      </c>
      <c r="G264" s="8" t="b">
        <v>1</v>
      </c>
      <c r="H264" s="8" t="b">
        <v>1</v>
      </c>
      <c r="I264" s="8" t="b">
        <v>1</v>
      </c>
      <c r="J264" s="8" t="b">
        <v>0</v>
      </c>
      <c r="K264" s="8" t="b">
        <v>1</v>
      </c>
      <c r="L264" s="8" t="b">
        <v>1</v>
      </c>
      <c r="M264" s="8" t="b">
        <v>1</v>
      </c>
      <c r="N264" s="8" t="b">
        <v>1</v>
      </c>
      <c r="O264" s="8" t="n">
        <v>0</v>
      </c>
      <c r="P264" s="8" t="n">
        <v>0</v>
      </c>
      <c r="Q264" s="8" t="n">
        <v>0</v>
      </c>
      <c r="R264" s="8" t="n"/>
      <c r="S264" s="23" t="n"/>
      <c r="T264" s="23" t="n"/>
      <c r="U264" s="8" t="n">
        <v>0</v>
      </c>
      <c r="V264" s="9" t="n">
        <v>0</v>
      </c>
      <c r="W264" s="8" t="inlineStr">
        <is>
          <t>169ykUVLNly2o12zd</t>
        </is>
      </c>
      <c r="X264" s="9" t="n"/>
      <c r="Y264" s="8" t="inlineStr">
        <is>
          <t>cancelled</t>
        </is>
      </c>
      <c r="Z264" s="8" t="inlineStr">
        <is>
          <t>gbp_logs</t>
        </is>
      </c>
    </row>
    <row r="265">
      <c r="A265" s="11" t="inlineStr">
        <is>
          <t>1d38b0cf-107a-41a8-b88d-4ff7e8d489d7</t>
        </is>
      </c>
      <c r="B265" s="11" t="inlineStr">
        <is>
          <t>Saxena spa salon gsisg</t>
        </is>
      </c>
      <c r="C265" s="24" t="n">
        <v>46175</v>
      </c>
      <c r="D265" s="11" t="inlineStr">
        <is>
          <t>2026-06</t>
        </is>
      </c>
      <c r="E265" s="11" t="b">
        <v>1</v>
      </c>
      <c r="F265" s="11" t="b">
        <v>1</v>
      </c>
      <c r="G265" s="11" t="b">
        <v>1</v>
      </c>
      <c r="H265" s="11" t="b">
        <v>1</v>
      </c>
      <c r="I265" s="11" t="b">
        <v>1</v>
      </c>
      <c r="J265" s="11" t="b">
        <v>0</v>
      </c>
      <c r="K265" s="11" t="b">
        <v>1</v>
      </c>
      <c r="L265" s="11" t="b">
        <v>1</v>
      </c>
      <c r="M265" s="11" t="b">
        <v>1</v>
      </c>
      <c r="N265" s="11" t="b">
        <v>1</v>
      </c>
      <c r="O265" s="11" t="n">
        <v>0</v>
      </c>
      <c r="P265" s="11" t="n">
        <v>0</v>
      </c>
      <c r="Q265" s="11" t="n">
        <v>0</v>
      </c>
      <c r="R265" s="11" t="n"/>
      <c r="S265" s="24" t="n"/>
      <c r="T265" s="24" t="n"/>
      <c r="U265" s="11" t="n">
        <v>0</v>
      </c>
      <c r="V265" s="12" t="n">
        <v>0</v>
      </c>
      <c r="W265" s="11" t="inlineStr">
        <is>
          <t>Azq7RwVLMbrE2TOH</t>
        </is>
      </c>
      <c r="X265" s="12" t="n"/>
      <c r="Y265" s="11" t="n"/>
      <c r="Z265" s="11" t="inlineStr">
        <is>
          <t>chargebee_company</t>
        </is>
      </c>
    </row>
    <row r="266">
      <c r="A266" s="8" t="inlineStr">
        <is>
          <t>87cdf2bb-2a1a-4aaf-be18-c564cb0b1380</t>
        </is>
      </c>
      <c r="B266" s="8" t="inlineStr">
        <is>
          <t>Unique Beauty Salon</t>
        </is>
      </c>
      <c r="C266" s="23" t="n">
        <v>46175</v>
      </c>
      <c r="D266" s="8" t="inlineStr">
        <is>
          <t>2026-06</t>
        </is>
      </c>
      <c r="E266" s="8" t="b">
        <v>1</v>
      </c>
      <c r="F266" s="8" t="b">
        <v>1</v>
      </c>
      <c r="G266" s="8" t="b">
        <v>1</v>
      </c>
      <c r="H266" s="8" t="b">
        <v>1</v>
      </c>
      <c r="I266" s="8" t="b">
        <v>1</v>
      </c>
      <c r="J266" s="8" t="b">
        <v>0</v>
      </c>
      <c r="K266" s="8" t="b">
        <v>1</v>
      </c>
      <c r="L266" s="8" t="b">
        <v>1</v>
      </c>
      <c r="M266" s="8" t="b">
        <v>1</v>
      </c>
      <c r="N266" s="8" t="b">
        <v>1</v>
      </c>
      <c r="O266" s="8" t="n">
        <v>52</v>
      </c>
      <c r="P266" s="8" t="n">
        <v>12</v>
      </c>
      <c r="Q266" s="8" t="n">
        <v>0</v>
      </c>
      <c r="R266" s="8" t="n"/>
      <c r="S266" s="23" t="n">
        <v>46175</v>
      </c>
      <c r="T266" s="23" t="n">
        <v>46237</v>
      </c>
      <c r="U266" s="8" t="n">
        <v>0</v>
      </c>
      <c r="V266" s="9" t="n">
        <v>0</v>
      </c>
      <c r="W266" s="8" t="inlineStr">
        <is>
          <t>16BXJoVGR3oRAngO</t>
        </is>
      </c>
      <c r="X266" s="9" t="n">
        <v>200</v>
      </c>
      <c r="Y266" s="8" t="inlineStr">
        <is>
          <t>active</t>
        </is>
      </c>
      <c r="Z266" s="8" t="inlineStr">
        <is>
          <t>gbp</t>
        </is>
      </c>
    </row>
    <row r="267">
      <c r="A267" s="11" t="inlineStr">
        <is>
          <t>674cf87e-c627-4d9c-bde2-ae465ba169c1</t>
        </is>
      </c>
      <c r="B267" s="11" t="inlineStr">
        <is>
          <t>Saxena spa salon gsisg</t>
        </is>
      </c>
      <c r="C267" s="24" t="n">
        <v>46175</v>
      </c>
      <c r="D267" s="11" t="inlineStr">
        <is>
          <t>2026-06</t>
        </is>
      </c>
      <c r="E267" s="11" t="b">
        <v>1</v>
      </c>
      <c r="F267" s="11" t="b">
        <v>1</v>
      </c>
      <c r="G267" s="11" t="b">
        <v>1</v>
      </c>
      <c r="H267" s="11" t="b">
        <v>1</v>
      </c>
      <c r="I267" s="11" t="b">
        <v>1</v>
      </c>
      <c r="J267" s="11" t="b">
        <v>0</v>
      </c>
      <c r="K267" s="11" t="b">
        <v>1</v>
      </c>
      <c r="L267" s="11" t="b">
        <v>1</v>
      </c>
      <c r="M267" s="11" t="b">
        <v>1</v>
      </c>
      <c r="N267" s="11" t="b">
        <v>1</v>
      </c>
      <c r="O267" s="11" t="n">
        <v>0</v>
      </c>
      <c r="P267" s="11" t="n">
        <v>0</v>
      </c>
      <c r="Q267" s="11" t="n">
        <v>0</v>
      </c>
      <c r="R267" s="11" t="n"/>
      <c r="S267" s="24" t="n"/>
      <c r="T267" s="24" t="n"/>
      <c r="U267" s="11" t="n">
        <v>0</v>
      </c>
      <c r="V267" s="12" t="n">
        <v>0</v>
      </c>
      <c r="W267" s="11" t="inlineStr">
        <is>
          <t>16CG6qVLOeBS51Y7F</t>
        </is>
      </c>
      <c r="X267" s="12" t="n"/>
      <c r="Y267" s="11" t="inlineStr">
        <is>
          <t>cancelled</t>
        </is>
      </c>
      <c r="Z267" s="11" t="inlineStr">
        <is>
          <t>gbp_logs</t>
        </is>
      </c>
    </row>
    <row r="268">
      <c r="A268" s="8" t="inlineStr">
        <is>
          <t>d0410e86-6493-4bed-b8ba-9108ea1aec8a</t>
        </is>
      </c>
      <c r="B268" s="8" t="inlineStr">
        <is>
          <t>prod temp zoca</t>
        </is>
      </c>
      <c r="C268" s="23" t="n">
        <v>46175</v>
      </c>
      <c r="D268" s="8" t="inlineStr">
        <is>
          <t>2026-06</t>
        </is>
      </c>
      <c r="E268" s="8" t="b">
        <v>1</v>
      </c>
      <c r="F268" s="8" t="b">
        <v>1</v>
      </c>
      <c r="G268" s="8" t="b">
        <v>1</v>
      </c>
      <c r="H268" s="8" t="b">
        <v>1</v>
      </c>
      <c r="I268" s="8" t="b">
        <v>1</v>
      </c>
      <c r="J268" s="8" t="b">
        <v>0</v>
      </c>
      <c r="K268" s="8" t="b">
        <v>1</v>
      </c>
      <c r="L268" s="8" t="b">
        <v>1</v>
      </c>
      <c r="M268" s="8" t="b">
        <v>1</v>
      </c>
      <c r="N268" s="8" t="b">
        <v>1</v>
      </c>
      <c r="O268" s="8" t="n">
        <v>1</v>
      </c>
      <c r="P268" s="8" t="n">
        <v>1</v>
      </c>
      <c r="Q268" s="8" t="n">
        <v>0</v>
      </c>
      <c r="R268" s="8" t="n"/>
      <c r="S268" s="23" t="n">
        <v>46175</v>
      </c>
      <c r="T268" s="23" t="n">
        <v>46175</v>
      </c>
      <c r="U268" s="8" t="n">
        <v>0</v>
      </c>
      <c r="V268" s="9" t="n">
        <v>0</v>
      </c>
      <c r="W268" s="8" t="inlineStr">
        <is>
          <t>AzZebqVLOjtag1cAi</t>
        </is>
      </c>
      <c r="X268" s="9" t="n"/>
      <c r="Y268" s="8" t="inlineStr">
        <is>
          <t>cancelled</t>
        </is>
      </c>
      <c r="Z268" s="8" t="inlineStr">
        <is>
          <t>gbp</t>
        </is>
      </c>
    </row>
    <row r="269">
      <c r="A269" s="11" t="inlineStr">
        <is>
          <t>ec42bcaa-ebd7-4a17-9df0-351e7c149799</t>
        </is>
      </c>
      <c r="B269" s="11" t="inlineStr">
        <is>
          <t>Saxena spa salon gsisg</t>
        </is>
      </c>
      <c r="C269" s="24" t="n">
        <v>46176</v>
      </c>
      <c r="D269" s="11" t="inlineStr">
        <is>
          <t>2026-06</t>
        </is>
      </c>
      <c r="E269" s="11" t="b">
        <v>1</v>
      </c>
      <c r="F269" s="11" t="b">
        <v>1</v>
      </c>
      <c r="G269" s="11" t="b">
        <v>1</v>
      </c>
      <c r="H269" s="11" t="b">
        <v>1</v>
      </c>
      <c r="I269" s="11" t="b">
        <v>1</v>
      </c>
      <c r="J269" s="11" t="b">
        <v>0</v>
      </c>
      <c r="K269" s="11" t="b">
        <v>1</v>
      </c>
      <c r="L269" s="11" t="b">
        <v>1</v>
      </c>
      <c r="M269" s="11" t="b">
        <v>1</v>
      </c>
      <c r="N269" s="11" t="b">
        <v>1</v>
      </c>
      <c r="O269" s="11" t="n">
        <v>0</v>
      </c>
      <c r="P269" s="11" t="n">
        <v>0</v>
      </c>
      <c r="Q269" s="11" t="n">
        <v>0</v>
      </c>
      <c r="R269" s="11" t="n"/>
      <c r="S269" s="24" t="n"/>
      <c r="T269" s="24" t="n"/>
      <c r="U269" s="11" t="n">
        <v>0</v>
      </c>
      <c r="V269" s="12" t="n">
        <v>0</v>
      </c>
      <c r="W269" s="11" t="inlineStr">
        <is>
          <t>6obHaVLSgElTXOK</t>
        </is>
      </c>
      <c r="X269" s="12" t="n"/>
      <c r="Y269" s="11" t="n"/>
      <c r="Z269" s="11" t="inlineStr">
        <is>
          <t>chargebee_company</t>
        </is>
      </c>
    </row>
    <row r="270">
      <c r="A270" s="8" t="inlineStr">
        <is>
          <t>19a4d41a-14e1-4435-8679-5f9036991628</t>
        </is>
      </c>
      <c r="B270" s="8" t="inlineStr">
        <is>
          <t>Saxena spa salon gsisg</t>
        </is>
      </c>
      <c r="C270" s="23" t="n">
        <v>46176</v>
      </c>
      <c r="D270" s="8" t="inlineStr">
        <is>
          <t>2026-06</t>
        </is>
      </c>
      <c r="E270" s="8" t="b">
        <v>1</v>
      </c>
      <c r="F270" s="8" t="b">
        <v>1</v>
      </c>
      <c r="G270" s="8" t="b">
        <v>1</v>
      </c>
      <c r="H270" s="8" t="b">
        <v>1</v>
      </c>
      <c r="I270" s="8" t="b">
        <v>1</v>
      </c>
      <c r="J270" s="8" t="b">
        <v>0</v>
      </c>
      <c r="K270" s="8" t="b">
        <v>1</v>
      </c>
      <c r="L270" s="8" t="b">
        <v>1</v>
      </c>
      <c r="M270" s="8" t="b">
        <v>1</v>
      </c>
      <c r="N270" s="8" t="b">
        <v>1</v>
      </c>
      <c r="O270" s="8" t="n">
        <v>6</v>
      </c>
      <c r="P270" s="8" t="n">
        <v>3</v>
      </c>
      <c r="Q270" s="8" t="n">
        <v>0</v>
      </c>
      <c r="R270" s="8" t="n"/>
      <c r="S270" s="23" t="n">
        <v>46176</v>
      </c>
      <c r="T270" s="23" t="n">
        <v>46181</v>
      </c>
      <c r="U270" s="8" t="n">
        <v>3</v>
      </c>
      <c r="V270" s="9" t="n">
        <v>1554</v>
      </c>
      <c r="W270" s="8" t="inlineStr">
        <is>
          <t>AzqcZ1VLSi4s9YkP</t>
        </is>
      </c>
      <c r="X270" s="9" t="n"/>
      <c r="Y270" s="8" t="inlineStr">
        <is>
          <t>cancelled</t>
        </is>
      </c>
      <c r="Z270" s="8" t="inlineStr">
        <is>
          <t>chargebee_company</t>
        </is>
      </c>
    </row>
    <row r="271">
      <c r="A271" s="11" t="inlineStr">
        <is>
          <t>59467779-8958-487b-93e1-ab94ec3df2b7</t>
        </is>
      </c>
      <c r="B271" s="11" t="inlineStr">
        <is>
          <t>Radiance Aesthetics &amp; Wellness</t>
        </is>
      </c>
      <c r="C271" s="24" t="n">
        <v>46177</v>
      </c>
      <c r="D271" s="11" t="inlineStr">
        <is>
          <t>2026-06</t>
        </is>
      </c>
      <c r="E271" s="11" t="b">
        <v>1</v>
      </c>
      <c r="F271" s="11" t="b">
        <v>1</v>
      </c>
      <c r="G271" s="11" t="b">
        <v>1</v>
      </c>
      <c r="H271" s="11" t="b">
        <v>1</v>
      </c>
      <c r="I271" s="11" t="b">
        <v>1</v>
      </c>
      <c r="J271" s="11" t="b">
        <v>0</v>
      </c>
      <c r="K271" s="11" t="b">
        <v>1</v>
      </c>
      <c r="L271" s="11" t="b">
        <v>1</v>
      </c>
      <c r="M271" s="11" t="b">
        <v>1</v>
      </c>
      <c r="N271" s="11" t="b">
        <v>1</v>
      </c>
      <c r="O271" s="11" t="n">
        <v>222</v>
      </c>
      <c r="P271" s="11" t="n">
        <v>135</v>
      </c>
      <c r="Q271" s="11" t="n">
        <v>0</v>
      </c>
      <c r="R271" s="11" t="n"/>
      <c r="S271" s="24" t="n">
        <v>46177</v>
      </c>
      <c r="T271" s="24" t="n">
        <v>46237</v>
      </c>
      <c r="U271" s="11" t="n">
        <v>57</v>
      </c>
      <c r="V271" s="12" t="n">
        <v>19932.4</v>
      </c>
      <c r="W271" s="11" t="inlineStr">
        <is>
          <t>16CaoRVLGBX0qCMP</t>
        </is>
      </c>
      <c r="X271" s="12" t="n"/>
      <c r="Y271" s="11" t="inlineStr">
        <is>
          <t>in_trial</t>
        </is>
      </c>
      <c r="Z271" s="11" t="inlineStr">
        <is>
          <t>gbp</t>
        </is>
      </c>
    </row>
    <row r="272">
      <c r="A272" s="8" t="inlineStr">
        <is>
          <t>8afb25bc-7109-4d13-b57a-8a4a783cf42c</t>
        </is>
      </c>
      <c r="B272" s="8" t="inlineStr">
        <is>
          <t>Reera skincare by Sahar</t>
        </is>
      </c>
      <c r="C272" s="23" t="n">
        <v>46178</v>
      </c>
      <c r="D272" s="8" t="inlineStr">
        <is>
          <t>2026-06</t>
        </is>
      </c>
      <c r="E272" s="8" t="b">
        <v>1</v>
      </c>
      <c r="F272" s="8" t="b">
        <v>1</v>
      </c>
      <c r="G272" s="8" t="b">
        <v>1</v>
      </c>
      <c r="H272" s="8" t="b">
        <v>1</v>
      </c>
      <c r="I272" s="8" t="b">
        <v>1</v>
      </c>
      <c r="J272" s="8" t="b">
        <v>1</v>
      </c>
      <c r="K272" s="8" t="b">
        <v>1</v>
      </c>
      <c r="L272" s="8" t="b">
        <v>1</v>
      </c>
      <c r="M272" s="8" t="b">
        <v>1</v>
      </c>
      <c r="N272" s="8" t="b">
        <v>1</v>
      </c>
      <c r="O272" s="8" t="n">
        <v>148</v>
      </c>
      <c r="P272" s="8" t="n">
        <v>4</v>
      </c>
      <c r="Q272" s="8" t="n">
        <v>0</v>
      </c>
      <c r="R272" s="8" t="n"/>
      <c r="S272" s="23" t="n">
        <v>46178</v>
      </c>
      <c r="T272" s="23" t="n">
        <v>46236</v>
      </c>
      <c r="U272" s="8" t="n">
        <v>1</v>
      </c>
      <c r="V272" s="9" t="n">
        <v>155</v>
      </c>
      <c r="W272" s="8" t="inlineStr">
        <is>
          <t>Azyb1ZVLhB7phzpC</t>
        </is>
      </c>
      <c r="X272" s="9" t="n">
        <v>149</v>
      </c>
      <c r="Y272" s="8" t="inlineStr">
        <is>
          <t>active</t>
        </is>
      </c>
      <c r="Z272" s="8" t="inlineStr">
        <is>
          <t>gbp</t>
        </is>
      </c>
    </row>
    <row r="273">
      <c r="A273" s="11" t="inlineStr">
        <is>
          <t>a6fe6e5f-a5ef-48c7-8c68-2a3e3c4ec60b</t>
        </is>
      </c>
      <c r="B273" s="11" t="inlineStr">
        <is>
          <t>Lola’s Beauty Salon &amp; Spa</t>
        </is>
      </c>
      <c r="C273" s="24" t="n">
        <v>46181</v>
      </c>
      <c r="D273" s="11" t="inlineStr">
        <is>
          <t>2026-06</t>
        </is>
      </c>
      <c r="E273" s="11" t="b">
        <v>1</v>
      </c>
      <c r="F273" s="11" t="b">
        <v>0</v>
      </c>
      <c r="G273" s="11" t="b">
        <v>0</v>
      </c>
      <c r="H273" s="11" t="b">
        <v>0</v>
      </c>
      <c r="I273" s="11" t="b">
        <v>0</v>
      </c>
      <c r="J273" s="11" t="b">
        <v>0</v>
      </c>
      <c r="K273" s="11" t="b">
        <v>0</v>
      </c>
      <c r="L273" s="11" t="b">
        <v>0</v>
      </c>
      <c r="M273" s="11" t="b">
        <v>0</v>
      </c>
      <c r="N273" s="11" t="b">
        <v>0</v>
      </c>
      <c r="O273" s="11" t="n">
        <v>0</v>
      </c>
      <c r="P273" s="11" t="n">
        <v>0</v>
      </c>
      <c r="Q273" s="11" t="n">
        <v>0</v>
      </c>
      <c r="R273" s="11" t="n"/>
      <c r="S273" s="24" t="n"/>
      <c r="T273" s="24" t="n"/>
      <c r="U273" s="11" t="n">
        <v>0</v>
      </c>
      <c r="V273" s="12" t="n">
        <v>0</v>
      </c>
      <c r="W273" s="11" t="inlineStr">
        <is>
          <t>AzyXqCVLxat1b1Dk4</t>
        </is>
      </c>
      <c r="X273" s="12" t="n"/>
      <c r="Y273" s="11" t="n"/>
      <c r="Z273" s="11" t="inlineStr">
        <is>
          <t>gbp</t>
        </is>
      </c>
    </row>
    <row r="274">
      <c r="A274" s="8" t="inlineStr">
        <is>
          <t>3b4edf59-dc89-4a5c-b715-210952a269d8</t>
        </is>
      </c>
      <c r="B274" s="8" t="inlineStr">
        <is>
          <t>Signature PMU by Tara</t>
        </is>
      </c>
      <c r="C274" s="23" t="n">
        <v>46181</v>
      </c>
      <c r="D274" s="8" t="inlineStr">
        <is>
          <t>2026-06</t>
        </is>
      </c>
      <c r="E274" s="8" t="b">
        <v>1</v>
      </c>
      <c r="F274" s="8" t="b">
        <v>1</v>
      </c>
      <c r="G274" s="8" t="b">
        <v>1</v>
      </c>
      <c r="H274" s="8" t="b">
        <v>1</v>
      </c>
      <c r="I274" s="8" t="b">
        <v>1</v>
      </c>
      <c r="J274" s="8" t="b">
        <v>1</v>
      </c>
      <c r="K274" s="8" t="b">
        <v>1</v>
      </c>
      <c r="L274" s="8" t="b">
        <v>1</v>
      </c>
      <c r="M274" s="8" t="b">
        <v>1</v>
      </c>
      <c r="N274" s="8" t="b">
        <v>1</v>
      </c>
      <c r="O274" s="8" t="n">
        <v>25</v>
      </c>
      <c r="P274" s="8" t="n">
        <v>1</v>
      </c>
      <c r="Q274" s="8" t="n">
        <v>0</v>
      </c>
      <c r="R274" s="8" t="n"/>
      <c r="S274" s="23" t="n">
        <v>46181</v>
      </c>
      <c r="T274" s="23" t="n">
        <v>46231</v>
      </c>
      <c r="U274" s="8" t="n">
        <v>17</v>
      </c>
      <c r="V274" s="9" t="n">
        <v>4678</v>
      </c>
      <c r="W274" s="8" t="inlineStr">
        <is>
          <t>AzqSUYVLxyVyl1Sto</t>
        </is>
      </c>
      <c r="X274" s="9" t="n">
        <v>149</v>
      </c>
      <c r="Y274" s="8" t="inlineStr">
        <is>
          <t>active</t>
        </is>
      </c>
      <c r="Z274" s="8" t="inlineStr">
        <is>
          <t>gbp</t>
        </is>
      </c>
    </row>
    <row r="275">
      <c r="A275" s="11" t="inlineStr">
        <is>
          <t>001ab98f-78dd-4c5f-be56-33c5cbb6ca51</t>
        </is>
      </c>
      <c r="B275" s="11" t="inlineStr">
        <is>
          <t>L&amp;R Beauty</t>
        </is>
      </c>
      <c r="C275" s="24" t="n">
        <v>46181</v>
      </c>
      <c r="D275" s="11" t="inlineStr">
        <is>
          <t>2026-06</t>
        </is>
      </c>
      <c r="E275" s="11" t="b">
        <v>1</v>
      </c>
      <c r="F275" s="11" t="b">
        <v>1</v>
      </c>
      <c r="G275" s="11" t="b">
        <v>1</v>
      </c>
      <c r="H275" s="11" t="b">
        <v>1</v>
      </c>
      <c r="I275" s="11" t="b">
        <v>1</v>
      </c>
      <c r="J275" s="11" t="b">
        <v>1</v>
      </c>
      <c r="K275" s="11" t="b">
        <v>0</v>
      </c>
      <c r="L275" s="11" t="b">
        <v>1</v>
      </c>
      <c r="M275" s="11" t="b">
        <v>1</v>
      </c>
      <c r="N275" s="11" t="b">
        <v>1</v>
      </c>
      <c r="O275" s="11" t="n">
        <v>11</v>
      </c>
      <c r="P275" s="11" t="n">
        <v>4</v>
      </c>
      <c r="Q275" s="11" t="n">
        <v>0</v>
      </c>
      <c r="R275" s="11" t="n"/>
      <c r="S275" s="24" t="n">
        <v>46208</v>
      </c>
      <c r="T275" s="24" t="n">
        <v>46226</v>
      </c>
      <c r="U275" s="11" t="n">
        <v>1</v>
      </c>
      <c r="V275" s="12" t="n">
        <v>17</v>
      </c>
      <c r="W275" s="11" t="inlineStr">
        <is>
          <t>AzqVnTUtlj7Ua2MIu</t>
        </is>
      </c>
      <c r="X275" s="12" t="n">
        <v>199</v>
      </c>
      <c r="Y275" s="11" t="inlineStr">
        <is>
          <t>active</t>
        </is>
      </c>
      <c r="Z275" s="11" t="inlineStr">
        <is>
          <t>gbp</t>
        </is>
      </c>
    </row>
    <row r="276">
      <c r="A276" s="8" t="inlineStr">
        <is>
          <t>60740471-a1de-424d-9e73-d77256551be1</t>
        </is>
      </c>
      <c r="B276" s="8" t="inlineStr">
        <is>
          <t>Aloe Beauty Suite (Natural hair salon suite)</t>
        </is>
      </c>
      <c r="C276" s="23" t="n">
        <v>46182</v>
      </c>
      <c r="D276" s="8" t="inlineStr">
        <is>
          <t>2026-06</t>
        </is>
      </c>
      <c r="E276" s="8" t="b">
        <v>1</v>
      </c>
      <c r="F276" s="8" t="b">
        <v>1</v>
      </c>
      <c r="G276" s="8" t="b">
        <v>1</v>
      </c>
      <c r="H276" s="8" t="b">
        <v>1</v>
      </c>
      <c r="I276" s="8" t="b">
        <v>1</v>
      </c>
      <c r="J276" s="8" t="b">
        <v>0</v>
      </c>
      <c r="K276" s="8" t="b">
        <v>1</v>
      </c>
      <c r="L276" s="8" t="b">
        <v>1</v>
      </c>
      <c r="M276" s="8" t="b">
        <v>1</v>
      </c>
      <c r="N276" s="8" t="b">
        <v>1</v>
      </c>
      <c r="O276" s="8" t="n">
        <v>3</v>
      </c>
      <c r="P276" s="8" t="n">
        <v>3</v>
      </c>
      <c r="Q276" s="8" t="n">
        <v>0</v>
      </c>
      <c r="R276" s="8" t="n"/>
      <c r="S276" s="23" t="n">
        <v>46182</v>
      </c>
      <c r="T276" s="23" t="n">
        <v>46200</v>
      </c>
      <c r="U276" s="8" t="n">
        <v>0</v>
      </c>
      <c r="V276" s="9" t="n">
        <v>0</v>
      </c>
      <c r="W276" s="8" t="inlineStr">
        <is>
          <t>16A2fFVM3KpM21BRn</t>
        </is>
      </c>
      <c r="X276" s="9" t="n"/>
      <c r="Y276" s="8" t="inlineStr">
        <is>
          <t>cancelled</t>
        </is>
      </c>
      <c r="Z276" s="8" t="inlineStr">
        <is>
          <t>gbp</t>
        </is>
      </c>
    </row>
    <row r="277">
      <c r="A277" s="11" t="inlineStr">
        <is>
          <t>533bbd60-2581-4a79-9624-2bcd8fc6c044</t>
        </is>
      </c>
      <c r="B277" s="11" t="inlineStr">
        <is>
          <t>SUR MedSpa (Medical Spa) - Marietta, GA</t>
        </is>
      </c>
      <c r="C277" s="24" t="n">
        <v>46182</v>
      </c>
      <c r="D277" s="11" t="inlineStr">
        <is>
          <t>2026-06</t>
        </is>
      </c>
      <c r="E277" s="11" t="b">
        <v>1</v>
      </c>
      <c r="F277" s="11" t="b">
        <v>1</v>
      </c>
      <c r="G277" s="11" t="b">
        <v>1</v>
      </c>
      <c r="H277" s="11" t="b">
        <v>1</v>
      </c>
      <c r="I277" s="11" t="b">
        <v>1</v>
      </c>
      <c r="J277" s="11" t="b">
        <v>1</v>
      </c>
      <c r="K277" s="11" t="b">
        <v>1</v>
      </c>
      <c r="L277" s="11" t="b">
        <v>1</v>
      </c>
      <c r="M277" s="11" t="b">
        <v>1</v>
      </c>
      <c r="N277" s="11" t="b">
        <v>1</v>
      </c>
      <c r="O277" s="11" t="n">
        <v>32</v>
      </c>
      <c r="P277" s="11" t="n">
        <v>32</v>
      </c>
      <c r="Q277" s="11" t="n">
        <v>0</v>
      </c>
      <c r="R277" s="11" t="n"/>
      <c r="S277" s="24" t="n">
        <v>46184</v>
      </c>
      <c r="T277" s="24" t="n">
        <v>46237</v>
      </c>
      <c r="U277" s="11" t="n">
        <v>0</v>
      </c>
      <c r="V277" s="12" t="n">
        <v>0</v>
      </c>
      <c r="W277" s="11" t="inlineStr">
        <is>
          <t>6oZmhVLgAthnMfr</t>
        </is>
      </c>
      <c r="X277" s="12" t="n">
        <v>297</v>
      </c>
      <c r="Y277" s="11" t="inlineStr">
        <is>
          <t>active</t>
        </is>
      </c>
      <c r="Z277" s="11" t="inlineStr">
        <is>
          <t>gbp</t>
        </is>
      </c>
    </row>
    <row r="278">
      <c r="A278" s="8" t="inlineStr">
        <is>
          <t>966f3e29-ea65-4c8a-96ef-53427422882d</t>
        </is>
      </c>
      <c r="B278" s="8" t="inlineStr">
        <is>
          <t>Bodies-N-Motion LLC</t>
        </is>
      </c>
      <c r="C278" s="23" t="n">
        <v>46182</v>
      </c>
      <c r="D278" s="8" t="inlineStr">
        <is>
          <t>2026-06</t>
        </is>
      </c>
      <c r="E278" s="8" t="b">
        <v>1</v>
      </c>
      <c r="F278" s="8" t="b">
        <v>1</v>
      </c>
      <c r="G278" s="8" t="b">
        <v>1</v>
      </c>
      <c r="H278" s="8" t="b">
        <v>1</v>
      </c>
      <c r="I278" s="8" t="b">
        <v>1</v>
      </c>
      <c r="J278" s="8" t="b">
        <v>1</v>
      </c>
      <c r="K278" s="8" t="b">
        <v>0</v>
      </c>
      <c r="L278" s="8" t="b">
        <v>1</v>
      </c>
      <c r="M278" s="8" t="b">
        <v>1</v>
      </c>
      <c r="N278" s="8" t="b">
        <v>1</v>
      </c>
      <c r="O278" s="8" t="n">
        <v>2</v>
      </c>
      <c r="P278" s="8" t="n">
        <v>2</v>
      </c>
      <c r="Q278" s="8" t="n">
        <v>0</v>
      </c>
      <c r="R278" s="8" t="n"/>
      <c r="S278" s="23" t="n">
        <v>46184</v>
      </c>
      <c r="T278" s="23" t="n">
        <v>46185</v>
      </c>
      <c r="U278" s="8" t="n">
        <v>2</v>
      </c>
      <c r="V278" s="9" t="n">
        <v>210</v>
      </c>
      <c r="W278" s="8" t="inlineStr">
        <is>
          <t>AzhqL2V2XHc6D8wEA</t>
        </is>
      </c>
      <c r="X278" s="9" t="n">
        <v>249</v>
      </c>
      <c r="Y278" s="8" t="inlineStr">
        <is>
          <t>active</t>
        </is>
      </c>
      <c r="Z278" s="8" t="inlineStr">
        <is>
          <t>gbp</t>
        </is>
      </c>
    </row>
    <row r="279">
      <c r="A279" s="11" t="inlineStr">
        <is>
          <t>87fd4fdb-1840-43d6-a97e-5e05c7fb98e6</t>
        </is>
      </c>
      <c r="B279" s="11" t="inlineStr">
        <is>
          <t>SkinFit Karen</t>
        </is>
      </c>
      <c r="C279" s="24" t="n">
        <v>46182</v>
      </c>
      <c r="D279" s="11" t="inlineStr">
        <is>
          <t>2026-06</t>
        </is>
      </c>
      <c r="E279" s="11" t="b">
        <v>0</v>
      </c>
      <c r="F279" s="11" t="b">
        <v>1</v>
      </c>
      <c r="G279" s="11" t="b">
        <v>1</v>
      </c>
      <c r="H279" s="11" t="b">
        <v>1</v>
      </c>
      <c r="I279" s="11" t="b">
        <v>1</v>
      </c>
      <c r="J279" s="11" t="b">
        <v>0</v>
      </c>
      <c r="K279" s="11" t="b">
        <v>1</v>
      </c>
      <c r="L279" s="11" t="b">
        <v>0</v>
      </c>
      <c r="M279" s="11" t="b">
        <v>0</v>
      </c>
      <c r="N279" s="11" t="b">
        <v>1</v>
      </c>
      <c r="O279" s="11" t="n">
        <v>0</v>
      </c>
      <c r="P279" s="11" t="n">
        <v>0</v>
      </c>
      <c r="Q279" s="11" t="n">
        <v>0</v>
      </c>
      <c r="R279" s="11" t="n"/>
      <c r="S279" s="24" t="n"/>
      <c r="T279" s="24" t="n"/>
      <c r="U279" s="11" t="n">
        <v>0</v>
      </c>
      <c r="V279" s="12" t="n">
        <v>0</v>
      </c>
      <c r="W279" s="11" t="inlineStr">
        <is>
          <t>6oZrzVM4ofna23fq</t>
        </is>
      </c>
      <c r="X279" s="12" t="n"/>
      <c r="Y279" s="11" t="n"/>
      <c r="Z279" s="11" t="inlineStr">
        <is>
          <t>gbp</t>
        </is>
      </c>
    </row>
    <row r="280">
      <c r="A280" s="8" t="inlineStr">
        <is>
          <t>82ce3fbb-32b8-489f-ae35-4cd0efe34fa8</t>
        </is>
      </c>
      <c r="B280" s="8" t="inlineStr">
        <is>
          <t>Lumiere Medspa LLC</t>
        </is>
      </c>
      <c r="C280" s="23" t="n">
        <v>46182</v>
      </c>
      <c r="D280" s="8" t="inlineStr">
        <is>
          <t>2026-06</t>
        </is>
      </c>
      <c r="E280" s="8" t="b">
        <v>1</v>
      </c>
      <c r="F280" s="8" t="b">
        <v>1</v>
      </c>
      <c r="G280" s="8" t="b">
        <v>1</v>
      </c>
      <c r="H280" s="8" t="b">
        <v>1</v>
      </c>
      <c r="I280" s="8" t="b">
        <v>1</v>
      </c>
      <c r="J280" s="8" t="b">
        <v>1</v>
      </c>
      <c r="K280" s="8" t="b">
        <v>1</v>
      </c>
      <c r="L280" s="8" t="b">
        <v>1</v>
      </c>
      <c r="M280" s="8" t="b">
        <v>1</v>
      </c>
      <c r="N280" s="8" t="b">
        <v>1</v>
      </c>
      <c r="O280" s="8" t="n">
        <v>8</v>
      </c>
      <c r="P280" s="8" t="n">
        <v>8</v>
      </c>
      <c r="Q280" s="8" t="n">
        <v>0</v>
      </c>
      <c r="R280" s="8" t="n"/>
      <c r="S280" s="23" t="n">
        <v>46185</v>
      </c>
      <c r="T280" s="23" t="n">
        <v>46224</v>
      </c>
      <c r="U280" s="8" t="n">
        <v>1</v>
      </c>
      <c r="V280" s="9" t="n">
        <v>100</v>
      </c>
      <c r="W280" s="8" t="inlineStr">
        <is>
          <t>AzqDccVM5Cfjg2SXT</t>
        </is>
      </c>
      <c r="X280" s="9" t="n">
        <v>248</v>
      </c>
      <c r="Y280" s="8" t="inlineStr">
        <is>
          <t>active</t>
        </is>
      </c>
      <c r="Z280" s="8" t="inlineStr">
        <is>
          <t>gbp</t>
        </is>
      </c>
    </row>
    <row r="281">
      <c r="A281" s="11" t="inlineStr">
        <is>
          <t>ef36c0c9-b5f2-44c5-899f-85266f2cd070</t>
        </is>
      </c>
      <c r="B281" s="11" t="inlineStr">
        <is>
          <t>Natasha salon</t>
        </is>
      </c>
      <c r="C281" s="24" t="n">
        <v>46183</v>
      </c>
      <c r="D281" s="11" t="inlineStr">
        <is>
          <t>2026-06</t>
        </is>
      </c>
      <c r="E281" s="11" t="b">
        <v>1</v>
      </c>
      <c r="F281" s="11" t="b">
        <v>1</v>
      </c>
      <c r="G281" s="11" t="b">
        <v>1</v>
      </c>
      <c r="H281" s="11" t="b">
        <v>1</v>
      </c>
      <c r="I281" s="11" t="b">
        <v>1</v>
      </c>
      <c r="J281" s="11" t="b">
        <v>0</v>
      </c>
      <c r="K281" s="11" t="b">
        <v>1</v>
      </c>
      <c r="L281" s="11" t="b">
        <v>1</v>
      </c>
      <c r="M281" s="11" t="b">
        <v>1</v>
      </c>
      <c r="N281" s="11" t="b">
        <v>1</v>
      </c>
      <c r="O281" s="11" t="n">
        <v>1</v>
      </c>
      <c r="P281" s="11" t="n">
        <v>0</v>
      </c>
      <c r="Q281" s="11" t="n">
        <v>0</v>
      </c>
      <c r="R281" s="11" t="n"/>
      <c r="S281" s="24" t="n">
        <v>46184</v>
      </c>
      <c r="T281" s="24" t="n">
        <v>46184</v>
      </c>
      <c r="U281" s="11" t="n">
        <v>0</v>
      </c>
      <c r="V281" s="12" t="n">
        <v>0</v>
      </c>
      <c r="W281" s="11" t="inlineStr">
        <is>
          <t>Azz4Y4VM9e1OB1Far</t>
        </is>
      </c>
      <c r="X281" s="12" t="n"/>
      <c r="Y281" s="11" t="inlineStr">
        <is>
          <t>cancelled</t>
        </is>
      </c>
      <c r="Z281" s="11" t="inlineStr">
        <is>
          <t>gbp_logs</t>
        </is>
      </c>
    </row>
    <row r="282">
      <c r="A282" s="8" t="inlineStr">
        <is>
          <t>170fce48-67a4-4d69-9a06-4a262dbf8f6c</t>
        </is>
      </c>
      <c r="B282" s="8" t="inlineStr">
        <is>
          <t>Mouchtache and More</t>
        </is>
      </c>
      <c r="C282" s="23" t="n">
        <v>46183</v>
      </c>
      <c r="D282" s="8" t="inlineStr">
        <is>
          <t>2026-06</t>
        </is>
      </c>
      <c r="E282" s="8" t="b">
        <v>1</v>
      </c>
      <c r="F282" s="8" t="b">
        <v>0</v>
      </c>
      <c r="G282" s="8" t="b">
        <v>0</v>
      </c>
      <c r="H282" s="8" t="b">
        <v>0</v>
      </c>
      <c r="I282" s="8" t="b">
        <v>0</v>
      </c>
      <c r="J282" s="8" t="b">
        <v>0</v>
      </c>
      <c r="K282" s="8" t="b">
        <v>0</v>
      </c>
      <c r="L282" s="8" t="b">
        <v>0</v>
      </c>
      <c r="M282" s="8" t="b">
        <v>0</v>
      </c>
      <c r="N282" s="8" t="b">
        <v>0</v>
      </c>
      <c r="O282" s="8" t="n">
        <v>0</v>
      </c>
      <c r="P282" s="8" t="n">
        <v>0</v>
      </c>
      <c r="Q282" s="8" t="n">
        <v>0</v>
      </c>
      <c r="R282" s="8" t="n"/>
      <c r="S282" s="23" t="n"/>
      <c r="T282" s="23" t="n"/>
      <c r="U282" s="8" t="n">
        <v>0</v>
      </c>
      <c r="V282" s="9" t="n">
        <v>0</v>
      </c>
      <c r="W282" s="8" t="inlineStr">
        <is>
          <t>16CRZtVM9tuJu1JxI</t>
        </is>
      </c>
      <c r="X282" s="9" t="n"/>
      <c r="Y282" s="8" t="n"/>
      <c r="Z282" s="8" t="inlineStr">
        <is>
          <t>gbp</t>
        </is>
      </c>
    </row>
    <row r="283">
      <c r="A283" s="11" t="inlineStr">
        <is>
          <t>c92ed3da-4dd2-4e54-b1cc-603ac9845880</t>
        </is>
      </c>
      <c r="B283" s="11" t="inlineStr">
        <is>
          <t>Shine Salon &amp; Spa - Hair, Skin, Nails, Massage</t>
        </is>
      </c>
      <c r="C283" s="24" t="n">
        <v>46183</v>
      </c>
      <c r="D283" s="11" t="inlineStr">
        <is>
          <t>2026-06</t>
        </is>
      </c>
      <c r="E283" s="11" t="b">
        <v>1</v>
      </c>
      <c r="F283" s="11" t="b">
        <v>1</v>
      </c>
      <c r="G283" s="11" t="b">
        <v>1</v>
      </c>
      <c r="H283" s="11" t="b">
        <v>1</v>
      </c>
      <c r="I283" s="11" t="b">
        <v>1</v>
      </c>
      <c r="J283" s="11" t="b">
        <v>0</v>
      </c>
      <c r="K283" s="11" t="b">
        <v>1</v>
      </c>
      <c r="L283" s="11" t="b">
        <v>1</v>
      </c>
      <c r="M283" s="11" t="b">
        <v>1</v>
      </c>
      <c r="N283" s="11" t="b">
        <v>1</v>
      </c>
      <c r="O283" s="11" t="n">
        <v>0</v>
      </c>
      <c r="P283" s="11" t="n">
        <v>0</v>
      </c>
      <c r="Q283" s="11" t="n">
        <v>0</v>
      </c>
      <c r="R283" s="11" t="n"/>
      <c r="S283" s="24" t="n"/>
      <c r="T283" s="24" t="n"/>
      <c r="U283" s="11" t="n">
        <v>0</v>
      </c>
      <c r="V283" s="12" t="n">
        <v>0</v>
      </c>
      <c r="W283" s="11" t="n"/>
      <c r="X283" s="12" t="n"/>
      <c r="Y283" s="11" t="n"/>
      <c r="Z283" s="11" t="inlineStr">
        <is>
          <t>gbp</t>
        </is>
      </c>
    </row>
    <row r="284">
      <c r="A284" s="8" t="inlineStr">
        <is>
          <t>fe6390f1-39b5-4a46-b97e-9c8362f63422</t>
        </is>
      </c>
      <c r="B284" s="8" t="inlineStr">
        <is>
          <t>Coffee and Friends - Cafe</t>
        </is>
      </c>
      <c r="C284" s="23" t="n">
        <v>46183</v>
      </c>
      <c r="D284" s="8" t="inlineStr">
        <is>
          <t>2026-06</t>
        </is>
      </c>
      <c r="E284" s="8" t="b">
        <v>1</v>
      </c>
      <c r="F284" s="8" t="b">
        <v>1</v>
      </c>
      <c r="G284" s="8" t="b">
        <v>1</v>
      </c>
      <c r="H284" s="8" t="b">
        <v>1</v>
      </c>
      <c r="I284" s="8" t="b">
        <v>1</v>
      </c>
      <c r="J284" s="8" t="b">
        <v>0</v>
      </c>
      <c r="K284" s="8" t="b">
        <v>1</v>
      </c>
      <c r="L284" s="8" t="b">
        <v>1</v>
      </c>
      <c r="M284" s="8" t="b">
        <v>1</v>
      </c>
      <c r="N284" s="8" t="b">
        <v>1</v>
      </c>
      <c r="O284" s="8" t="n">
        <v>2</v>
      </c>
      <c r="P284" s="8" t="n">
        <v>0</v>
      </c>
      <c r="Q284" s="8" t="n">
        <v>0</v>
      </c>
      <c r="R284" s="8" t="n"/>
      <c r="S284" s="23" t="n">
        <v>46183</v>
      </c>
      <c r="T284" s="23" t="n">
        <v>46188</v>
      </c>
      <c r="U284" s="8" t="n">
        <v>0</v>
      </c>
      <c r="V284" s="9" t="n">
        <v>0</v>
      </c>
      <c r="W284" s="8" t="inlineStr">
        <is>
          <t>AzZeA2VMAQ23q1m5Q</t>
        </is>
      </c>
      <c r="X284" s="9" t="n"/>
      <c r="Y284" s="8" t="n"/>
      <c r="Z284" s="8" t="inlineStr">
        <is>
          <t>gbp</t>
        </is>
      </c>
    </row>
    <row r="285">
      <c r="A285" s="11" t="inlineStr">
        <is>
          <t>ef9e7a97-edfa-4db3-94d1-dc7fdbce7bb0</t>
        </is>
      </c>
      <c r="B285" s="11" t="inlineStr">
        <is>
          <t>Peggy's Mobile Hair Braiding and Dreadlocks</t>
        </is>
      </c>
      <c r="C285" s="24" t="n">
        <v>46183</v>
      </c>
      <c r="D285" s="11" t="inlineStr">
        <is>
          <t>2026-06</t>
        </is>
      </c>
      <c r="E285" s="11" t="b">
        <v>1</v>
      </c>
      <c r="F285" s="11" t="b">
        <v>1</v>
      </c>
      <c r="G285" s="11" t="b">
        <v>1</v>
      </c>
      <c r="H285" s="11" t="b">
        <v>1</v>
      </c>
      <c r="I285" s="11" t="b">
        <v>1</v>
      </c>
      <c r="J285" s="11" t="b">
        <v>0</v>
      </c>
      <c r="K285" s="11" t="b">
        <v>1</v>
      </c>
      <c r="L285" s="11" t="b">
        <v>1</v>
      </c>
      <c r="M285" s="11" t="b">
        <v>1</v>
      </c>
      <c r="N285" s="11" t="b">
        <v>1</v>
      </c>
      <c r="O285" s="11" t="n">
        <v>6</v>
      </c>
      <c r="P285" s="11" t="n">
        <v>6</v>
      </c>
      <c r="Q285" s="11" t="n">
        <v>0</v>
      </c>
      <c r="R285" s="11" t="n"/>
      <c r="S285" s="24" t="n">
        <v>46220</v>
      </c>
      <c r="T285" s="24" t="n">
        <v>46236</v>
      </c>
      <c r="U285" s="11" t="n">
        <v>0</v>
      </c>
      <c r="V285" s="12" t="n">
        <v>0</v>
      </c>
      <c r="W285" s="11" t="inlineStr">
        <is>
          <t>16CH9nUnpd0zW45NH</t>
        </is>
      </c>
      <c r="X285" s="12" t="n">
        <v>199</v>
      </c>
      <c r="Y285" s="11" t="inlineStr">
        <is>
          <t>non_renewing</t>
        </is>
      </c>
      <c r="Z285" s="11" t="inlineStr">
        <is>
          <t>gbp</t>
        </is>
      </c>
    </row>
    <row r="286">
      <c r="A286" s="8" t="inlineStr">
        <is>
          <t>4a66961e-7b7f-4acb-a5aa-c382119d48b8</t>
        </is>
      </c>
      <c r="B286" s="8" t="inlineStr">
        <is>
          <t>Skin Fiction</t>
        </is>
      </c>
      <c r="C286" s="23" t="n">
        <v>46184</v>
      </c>
      <c r="D286" s="8" t="inlineStr">
        <is>
          <t>2026-06</t>
        </is>
      </c>
      <c r="E286" s="8" t="b">
        <v>1</v>
      </c>
      <c r="F286" s="8" t="b">
        <v>1</v>
      </c>
      <c r="G286" s="8" t="b">
        <v>1</v>
      </c>
      <c r="H286" s="8" t="b">
        <v>1</v>
      </c>
      <c r="I286" s="8" t="b">
        <v>1</v>
      </c>
      <c r="J286" s="8" t="b">
        <v>0</v>
      </c>
      <c r="K286" s="8" t="b">
        <v>1</v>
      </c>
      <c r="L286" s="8" t="b">
        <v>1</v>
      </c>
      <c r="M286" s="8" t="b">
        <v>1</v>
      </c>
      <c r="N286" s="8" t="b">
        <v>1</v>
      </c>
      <c r="O286" s="8" t="n">
        <v>1</v>
      </c>
      <c r="P286" s="8" t="n">
        <v>0</v>
      </c>
      <c r="Q286" s="8" t="n">
        <v>0</v>
      </c>
      <c r="R286" s="8" t="n"/>
      <c r="S286" s="23" t="n">
        <v>46217</v>
      </c>
      <c r="T286" s="23" t="n">
        <v>46217</v>
      </c>
      <c r="U286" s="8" t="n">
        <v>0</v>
      </c>
      <c r="V286" s="9" t="n">
        <v>0</v>
      </c>
      <c r="W286" s="8" t="inlineStr">
        <is>
          <t>AzZeI5VM33aax124P</t>
        </is>
      </c>
      <c r="X286" s="9" t="n"/>
      <c r="Y286" s="8" t="inlineStr">
        <is>
          <t>cancelled</t>
        </is>
      </c>
      <c r="Z286" s="8" t="inlineStr">
        <is>
          <t>gbp</t>
        </is>
      </c>
    </row>
    <row r="287">
      <c r="A287" s="11" t="inlineStr">
        <is>
          <t>2153eaf7-af4e-45f1-bc4e-0be39b8e57bf</t>
        </is>
      </c>
      <c r="B287" s="11" t="inlineStr">
        <is>
          <t>Level up with Sam</t>
        </is>
      </c>
      <c r="C287" s="24" t="n">
        <v>46184</v>
      </c>
      <c r="D287" s="11" t="inlineStr">
        <is>
          <t>2026-06</t>
        </is>
      </c>
      <c r="E287" s="11" t="b">
        <v>1</v>
      </c>
      <c r="F287" s="11" t="b">
        <v>1</v>
      </c>
      <c r="G287" s="11" t="b">
        <v>0</v>
      </c>
      <c r="H287" s="11" t="b">
        <v>0</v>
      </c>
      <c r="I287" s="11" t="b">
        <v>0</v>
      </c>
      <c r="J287" s="11" t="b">
        <v>0</v>
      </c>
      <c r="K287" s="11" t="b">
        <v>0</v>
      </c>
      <c r="L287" s="11" t="b">
        <v>0</v>
      </c>
      <c r="M287" s="11" t="b">
        <v>0</v>
      </c>
      <c r="N287" s="11" t="b">
        <v>0</v>
      </c>
      <c r="O287" s="11" t="n">
        <v>0</v>
      </c>
      <c r="P287" s="11" t="n">
        <v>0</v>
      </c>
      <c r="Q287" s="11" t="n">
        <v>0</v>
      </c>
      <c r="R287" s="11" t="n"/>
      <c r="S287" s="24" t="n"/>
      <c r="T287" s="24" t="n"/>
      <c r="U287" s="11" t="n">
        <v>0</v>
      </c>
      <c r="V287" s="12" t="n">
        <v>0</v>
      </c>
      <c r="W287" s="11" t="inlineStr">
        <is>
          <t>AzhjxVVJLCLQCadW</t>
        </is>
      </c>
      <c r="X287" s="12" t="n">
        <v>150</v>
      </c>
      <c r="Y287" s="11" t="inlineStr">
        <is>
          <t>active</t>
        </is>
      </c>
      <c r="Z287" s="11" t="inlineStr">
        <is>
          <t>gbp</t>
        </is>
      </c>
    </row>
    <row r="288">
      <c r="A288" s="8" t="inlineStr">
        <is>
          <t>2994cd26-30ca-44d2-8c64-4316cbd1090e</t>
        </is>
      </c>
      <c r="B288" s="8" t="inlineStr">
        <is>
          <t>beautyandbright</t>
        </is>
      </c>
      <c r="C288" s="23" t="n">
        <v>46185</v>
      </c>
      <c r="D288" s="8" t="inlineStr">
        <is>
          <t>2026-06</t>
        </is>
      </c>
      <c r="E288" s="8" t="b">
        <v>1</v>
      </c>
      <c r="F288" s="8" t="b">
        <v>1</v>
      </c>
      <c r="G288" s="8" t="b">
        <v>1</v>
      </c>
      <c r="H288" s="8" t="b">
        <v>1</v>
      </c>
      <c r="I288" s="8" t="b">
        <v>1</v>
      </c>
      <c r="J288" s="8" t="b">
        <v>0</v>
      </c>
      <c r="K288" s="8" t="b">
        <v>1</v>
      </c>
      <c r="L288" s="8" t="b">
        <v>1</v>
      </c>
      <c r="M288" s="8" t="b">
        <v>1</v>
      </c>
      <c r="N288" s="8" t="b">
        <v>1</v>
      </c>
      <c r="O288" s="8" t="n">
        <v>1</v>
      </c>
      <c r="P288" s="8" t="n">
        <v>1</v>
      </c>
      <c r="Q288" s="8" t="n">
        <v>10629</v>
      </c>
      <c r="R288" s="8" t="inlineStr">
        <is>
          <t>ZOCA_OPS</t>
        </is>
      </c>
      <c r="S288" s="23" t="n">
        <v>46227</v>
      </c>
      <c r="T288" s="23" t="n">
        <v>46227</v>
      </c>
      <c r="U288" s="8" t="n">
        <v>0</v>
      </c>
      <c r="V288" s="9" t="n">
        <v>0</v>
      </c>
      <c r="W288" s="8" t="n"/>
      <c r="X288" s="9" t="n"/>
      <c r="Y288" s="8" t="n"/>
      <c r="Z288" s="8" t="inlineStr">
        <is>
          <t>gbp</t>
        </is>
      </c>
    </row>
    <row r="289">
      <c r="A289" s="11" t="inlineStr">
        <is>
          <t>7f66c15f-e890-4b07-a8e7-91d83c972faf</t>
        </is>
      </c>
      <c r="B289" s="11" t="inlineStr">
        <is>
          <t>Saxena spa salon gsisg</t>
        </is>
      </c>
      <c r="C289" s="24" t="n">
        <v>46185</v>
      </c>
      <c r="D289" s="11" t="inlineStr">
        <is>
          <t>2026-06</t>
        </is>
      </c>
      <c r="E289" s="11" t="b">
        <v>1</v>
      </c>
      <c r="F289" s="11" t="b">
        <v>1</v>
      </c>
      <c r="G289" s="11" t="b">
        <v>1</v>
      </c>
      <c r="H289" s="11" t="b">
        <v>1</v>
      </c>
      <c r="I289" s="11" t="b">
        <v>1</v>
      </c>
      <c r="J289" s="11" t="b">
        <v>0</v>
      </c>
      <c r="K289" s="11" t="b">
        <v>1</v>
      </c>
      <c r="L289" s="11" t="b">
        <v>1</v>
      </c>
      <c r="M289" s="11" t="b">
        <v>1</v>
      </c>
      <c r="N289" s="11" t="b">
        <v>1</v>
      </c>
      <c r="O289" s="11" t="n">
        <v>0</v>
      </c>
      <c r="P289" s="11" t="n">
        <v>0</v>
      </c>
      <c r="Q289" s="11" t="n">
        <v>0</v>
      </c>
      <c r="R289" s="11" t="n"/>
      <c r="S289" s="24" t="n"/>
      <c r="T289" s="24" t="n"/>
      <c r="U289" s="11" t="n">
        <v>0</v>
      </c>
      <c r="V289" s="12" t="n">
        <v>0</v>
      </c>
      <c r="W289" s="11" t="inlineStr">
        <is>
          <t>AzqUnWVML2VTW1EGK</t>
        </is>
      </c>
      <c r="X289" s="12" t="n"/>
      <c r="Y289" s="11" t="n"/>
      <c r="Z289" s="11" t="inlineStr">
        <is>
          <t>chargebee_company</t>
        </is>
      </c>
    </row>
    <row r="290">
      <c r="A290" s="8" t="inlineStr">
        <is>
          <t>bc1211a0-0a9f-46ad-8419-6fb46149ca94</t>
        </is>
      </c>
      <c r="B290" s="8" t="inlineStr">
        <is>
          <t>Garden Glam Beauty</t>
        </is>
      </c>
      <c r="C290" s="23" t="n">
        <v>46185</v>
      </c>
      <c r="D290" s="8" t="inlineStr">
        <is>
          <t>2026-06</t>
        </is>
      </c>
      <c r="E290" s="8" t="b">
        <v>1</v>
      </c>
      <c r="F290" s="8" t="b">
        <v>1</v>
      </c>
      <c r="G290" s="8" t="b">
        <v>1</v>
      </c>
      <c r="H290" s="8" t="b">
        <v>1</v>
      </c>
      <c r="I290" s="8" t="b">
        <v>1</v>
      </c>
      <c r="J290" s="8" t="b">
        <v>0</v>
      </c>
      <c r="K290" s="8" t="b">
        <v>1</v>
      </c>
      <c r="L290" s="8" t="b">
        <v>1</v>
      </c>
      <c r="M290" s="8" t="b">
        <v>1</v>
      </c>
      <c r="N290" s="8" t="b">
        <v>1</v>
      </c>
      <c r="O290" s="8" t="n">
        <v>53</v>
      </c>
      <c r="P290" s="8" t="n">
        <v>17</v>
      </c>
      <c r="Q290" s="8" t="n">
        <v>0</v>
      </c>
      <c r="R290" s="8" t="n"/>
      <c r="S290" s="23" t="n">
        <v>46185</v>
      </c>
      <c r="T290" s="23" t="n">
        <v>46235</v>
      </c>
      <c r="U290" s="8" t="n">
        <v>0</v>
      </c>
      <c r="V290" s="9" t="n">
        <v>0</v>
      </c>
      <c r="W290" s="8" t="inlineStr">
        <is>
          <t>16CJlsUuvECiE1f2i</t>
        </is>
      </c>
      <c r="X290" s="9" t="n">
        <v>249</v>
      </c>
      <c r="Y290" s="8" t="inlineStr">
        <is>
          <t>active</t>
        </is>
      </c>
      <c r="Z290" s="8" t="inlineStr">
        <is>
          <t>gbp</t>
        </is>
      </c>
    </row>
    <row r="291">
      <c r="A291" s="11" t="inlineStr">
        <is>
          <t>fdb27962-a813-4151-b594-da4fe2f358e7</t>
        </is>
      </c>
      <c r="B291" s="11" t="inlineStr">
        <is>
          <t>Saxena spa salon gsisg</t>
        </is>
      </c>
      <c r="C291" s="24" t="n">
        <v>46188</v>
      </c>
      <c r="D291" s="11" t="inlineStr">
        <is>
          <t>2026-06</t>
        </is>
      </c>
      <c r="E291" s="11" t="b">
        <v>1</v>
      </c>
      <c r="F291" s="11" t="b">
        <v>1</v>
      </c>
      <c r="G291" s="11" t="b">
        <v>1</v>
      </c>
      <c r="H291" s="11" t="b">
        <v>1</v>
      </c>
      <c r="I291" s="11" t="b">
        <v>1</v>
      </c>
      <c r="J291" s="11" t="b">
        <v>0</v>
      </c>
      <c r="K291" s="11" t="b">
        <v>1</v>
      </c>
      <c r="L291" s="11" t="b">
        <v>1</v>
      </c>
      <c r="M291" s="11" t="b">
        <v>1</v>
      </c>
      <c r="N291" s="11" t="b">
        <v>1</v>
      </c>
      <c r="O291" s="11" t="n">
        <v>7</v>
      </c>
      <c r="P291" s="11" t="n">
        <v>5</v>
      </c>
      <c r="Q291" s="11" t="n">
        <v>0</v>
      </c>
      <c r="R291" s="11" t="n"/>
      <c r="S291" s="24" t="n">
        <v>46188</v>
      </c>
      <c r="T291" s="24" t="n">
        <v>46188</v>
      </c>
      <c r="U291" s="11" t="n">
        <v>0</v>
      </c>
      <c r="V291" s="12" t="n">
        <v>0</v>
      </c>
      <c r="W291" s="11" t="inlineStr">
        <is>
          <t>AzqdjEVMabAJSFdY</t>
        </is>
      </c>
      <c r="X291" s="12" t="n"/>
      <c r="Y291" s="11" t="inlineStr">
        <is>
          <t>cancelled</t>
        </is>
      </c>
      <c r="Z291" s="11" t="inlineStr">
        <is>
          <t>gbp_logs</t>
        </is>
      </c>
    </row>
    <row r="292">
      <c r="A292" s="8" t="inlineStr">
        <is>
          <t>f038658c-440c-483b-990d-53bcb82c8efe</t>
        </is>
      </c>
      <c r="B292" s="8" t="inlineStr">
        <is>
          <t>Natasha salon</t>
        </is>
      </c>
      <c r="C292" s="23" t="n">
        <v>46188</v>
      </c>
      <c r="D292" s="8" t="inlineStr">
        <is>
          <t>2026-06</t>
        </is>
      </c>
      <c r="E292" s="8" t="b">
        <v>1</v>
      </c>
      <c r="F292" s="8" t="b">
        <v>1</v>
      </c>
      <c r="G292" s="8" t="b">
        <v>1</v>
      </c>
      <c r="H292" s="8" t="b">
        <v>1</v>
      </c>
      <c r="I292" s="8" t="b">
        <v>1</v>
      </c>
      <c r="J292" s="8" t="b">
        <v>0</v>
      </c>
      <c r="K292" s="8" t="b">
        <v>1</v>
      </c>
      <c r="L292" s="8" t="b">
        <v>1</v>
      </c>
      <c r="M292" s="8" t="b">
        <v>1</v>
      </c>
      <c r="N292" s="8" t="b">
        <v>1</v>
      </c>
      <c r="O292" s="8" t="n">
        <v>0</v>
      </c>
      <c r="P292" s="8" t="n">
        <v>0</v>
      </c>
      <c r="Q292" s="8" t="n">
        <v>0</v>
      </c>
      <c r="R292" s="8" t="n"/>
      <c r="S292" s="23" t="n"/>
      <c r="T292" s="23" t="n"/>
      <c r="U292" s="8" t="n">
        <v>0</v>
      </c>
      <c r="V292" s="9" t="n">
        <v>0</v>
      </c>
      <c r="W292" s="8" t="inlineStr">
        <is>
          <t>AzZogfVMb2ghQRc7</t>
        </is>
      </c>
      <c r="X292" s="9" t="n"/>
      <c r="Y292" s="8" t="inlineStr">
        <is>
          <t>cancelled</t>
        </is>
      </c>
      <c r="Z292" s="8" t="inlineStr">
        <is>
          <t>chargebee_company</t>
        </is>
      </c>
    </row>
    <row r="293">
      <c r="A293" s="11" t="inlineStr">
        <is>
          <t>00eac085-df5a-417f-ad54-5c63a9c2c156</t>
        </is>
      </c>
      <c r="B293" s="11" t="inlineStr">
        <is>
          <t>Tanmay's Ayurvedic Salon and Spa</t>
        </is>
      </c>
      <c r="C293" s="24" t="n">
        <v>46188</v>
      </c>
      <c r="D293" s="11" t="inlineStr">
        <is>
          <t>2026-06</t>
        </is>
      </c>
      <c r="E293" s="11" t="b">
        <v>1</v>
      </c>
      <c r="F293" s="11" t="b">
        <v>1</v>
      </c>
      <c r="G293" s="11" t="b">
        <v>1</v>
      </c>
      <c r="H293" s="11" t="b">
        <v>1</v>
      </c>
      <c r="I293" s="11" t="b">
        <v>1</v>
      </c>
      <c r="J293" s="11" t="b">
        <v>0</v>
      </c>
      <c r="K293" s="11" t="b">
        <v>1</v>
      </c>
      <c r="L293" s="11" t="b">
        <v>1</v>
      </c>
      <c r="M293" s="11" t="b">
        <v>1</v>
      </c>
      <c r="N293" s="11" t="b">
        <v>1</v>
      </c>
      <c r="O293" s="11" t="n">
        <v>0</v>
      </c>
      <c r="P293" s="11" t="n">
        <v>0</v>
      </c>
      <c r="Q293" s="11" t="n">
        <v>0</v>
      </c>
      <c r="R293" s="11" t="n"/>
      <c r="S293" s="24" t="n"/>
      <c r="T293" s="24" t="n"/>
      <c r="U293" s="11" t="n">
        <v>0</v>
      </c>
      <c r="V293" s="12" t="n">
        <v>0</v>
      </c>
      <c r="W293" s="11" t="inlineStr">
        <is>
          <t>AzZwgEVMbFYIxXK6</t>
        </is>
      </c>
      <c r="X293" s="12" t="n"/>
      <c r="Y293" s="11" t="n"/>
      <c r="Z293" s="11" t="inlineStr">
        <is>
          <t>gbp</t>
        </is>
      </c>
    </row>
    <row r="294">
      <c r="A294" s="8" t="inlineStr">
        <is>
          <t>5a43e322-bc69-4dfc-84be-51a49799d82e</t>
        </is>
      </c>
      <c r="B294" s="8" t="inlineStr">
        <is>
          <t>Saxena spa salon gsisg</t>
        </is>
      </c>
      <c r="C294" s="23" t="n">
        <v>46188</v>
      </c>
      <c r="D294" s="8" t="inlineStr">
        <is>
          <t>2026-06</t>
        </is>
      </c>
      <c r="E294" s="8" t="b">
        <v>1</v>
      </c>
      <c r="F294" s="8" t="b">
        <v>1</v>
      </c>
      <c r="G294" s="8" t="b">
        <v>1</v>
      </c>
      <c r="H294" s="8" t="b">
        <v>1</v>
      </c>
      <c r="I294" s="8" t="b">
        <v>1</v>
      </c>
      <c r="J294" s="8" t="b">
        <v>0</v>
      </c>
      <c r="K294" s="8" t="b">
        <v>1</v>
      </c>
      <c r="L294" s="8" t="b">
        <v>1</v>
      </c>
      <c r="M294" s="8" t="b">
        <v>1</v>
      </c>
      <c r="N294" s="8" t="b">
        <v>1</v>
      </c>
      <c r="O294" s="8" t="n">
        <v>0</v>
      </c>
      <c r="P294" s="8" t="n">
        <v>0</v>
      </c>
      <c r="Q294" s="8" t="n">
        <v>0</v>
      </c>
      <c r="R294" s="8" t="n"/>
      <c r="S294" s="23" t="n"/>
      <c r="T294" s="23" t="n"/>
      <c r="U294" s="8" t="n">
        <v>0</v>
      </c>
      <c r="V294" s="9" t="n">
        <v>0</v>
      </c>
      <c r="W294" s="8" t="inlineStr">
        <is>
          <t>16BPq9VMbKfl7cFL</t>
        </is>
      </c>
      <c r="X294" s="9" t="n"/>
      <c r="Y294" s="8" t="inlineStr">
        <is>
          <t>cancelled</t>
        </is>
      </c>
      <c r="Z294" s="8" t="inlineStr">
        <is>
          <t>chargebee_company</t>
        </is>
      </c>
    </row>
    <row r="295">
      <c r="A295" s="11" t="inlineStr">
        <is>
          <t>f322de59-055e-45eb-9717-4796d73ccdb6</t>
        </is>
      </c>
      <c r="B295" s="11" t="inlineStr">
        <is>
          <t>Natasha salon</t>
        </is>
      </c>
      <c r="C295" s="24" t="n">
        <v>46188</v>
      </c>
      <c r="D295" s="11" t="inlineStr">
        <is>
          <t>2026-06</t>
        </is>
      </c>
      <c r="E295" s="11" t="b">
        <v>1</v>
      </c>
      <c r="F295" s="11" t="b">
        <v>0</v>
      </c>
      <c r="G295" s="11" t="b">
        <v>0</v>
      </c>
      <c r="H295" s="11" t="b">
        <v>0</v>
      </c>
      <c r="I295" s="11" t="b">
        <v>0</v>
      </c>
      <c r="J295" s="11" t="b">
        <v>0</v>
      </c>
      <c r="K295" s="11" t="b">
        <v>0</v>
      </c>
      <c r="L295" s="11" t="b">
        <v>0</v>
      </c>
      <c r="M295" s="11" t="b">
        <v>0</v>
      </c>
      <c r="N295" s="11" t="b">
        <v>0</v>
      </c>
      <c r="O295" s="11" t="n">
        <v>0</v>
      </c>
      <c r="P295" s="11" t="n">
        <v>0</v>
      </c>
      <c r="Q295" s="11" t="n">
        <v>0</v>
      </c>
      <c r="R295" s="11" t="n"/>
      <c r="S295" s="24" t="n"/>
      <c r="T295" s="24" t="n"/>
      <c r="U295" s="11" t="n">
        <v>0</v>
      </c>
      <c r="V295" s="12" t="n">
        <v>0</v>
      </c>
      <c r="W295" s="11" t="inlineStr">
        <is>
          <t>Azz1tTVMbMPi8dTZ</t>
        </is>
      </c>
      <c r="X295" s="12" t="n"/>
      <c r="Y295" s="11" t="n"/>
      <c r="Z295" s="11" t="inlineStr">
        <is>
          <t>chargebee_company</t>
        </is>
      </c>
    </row>
    <row r="296">
      <c r="A296" s="8" t="inlineStr">
        <is>
          <t>30710015-6fc3-4dcd-bd42-5d6300c0dd27</t>
        </is>
      </c>
      <c r="B296" s="8" t="inlineStr">
        <is>
          <t>Saxena spa salon gsisg</t>
        </is>
      </c>
      <c r="C296" s="23" t="n">
        <v>46188</v>
      </c>
      <c r="D296" s="8" t="inlineStr">
        <is>
          <t>2026-06</t>
        </is>
      </c>
      <c r="E296" s="8" t="b">
        <v>1</v>
      </c>
      <c r="F296" s="8" t="b">
        <v>1</v>
      </c>
      <c r="G296" s="8" t="b">
        <v>1</v>
      </c>
      <c r="H296" s="8" t="b">
        <v>1</v>
      </c>
      <c r="I296" s="8" t="b">
        <v>1</v>
      </c>
      <c r="J296" s="8" t="b">
        <v>0</v>
      </c>
      <c r="K296" s="8" t="b">
        <v>1</v>
      </c>
      <c r="L296" s="8" t="b">
        <v>1</v>
      </c>
      <c r="M296" s="8" t="b">
        <v>1</v>
      </c>
      <c r="N296" s="8" t="b">
        <v>1</v>
      </c>
      <c r="O296" s="8" t="n">
        <v>0</v>
      </c>
      <c r="P296" s="8" t="n">
        <v>0</v>
      </c>
      <c r="Q296" s="8" t="n">
        <v>0</v>
      </c>
      <c r="R296" s="8" t="n"/>
      <c r="S296" s="23" t="n"/>
      <c r="T296" s="23" t="n"/>
      <c r="U296" s="8" t="n">
        <v>0</v>
      </c>
      <c r="V296" s="9" t="n">
        <v>0</v>
      </c>
      <c r="W296" s="8" t="n"/>
      <c r="X296" s="9" t="n"/>
      <c r="Y296" s="8" t="n"/>
      <c r="Z296" s="8" t="inlineStr">
        <is>
          <t>gbp_logs</t>
        </is>
      </c>
    </row>
    <row r="297">
      <c r="A297" s="11" t="inlineStr">
        <is>
          <t>a0a3f587-6acf-4826-8995-a8ebe66c93eb</t>
        </is>
      </c>
      <c r="B297" s="11" t="inlineStr">
        <is>
          <t>Natasha salon</t>
        </is>
      </c>
      <c r="C297" s="24" t="n">
        <v>46188</v>
      </c>
      <c r="D297" s="11" t="inlineStr">
        <is>
          <t>2026-06</t>
        </is>
      </c>
      <c r="E297" s="11" t="b">
        <v>1</v>
      </c>
      <c r="F297" s="11" t="b">
        <v>1</v>
      </c>
      <c r="G297" s="11" t="b">
        <v>1</v>
      </c>
      <c r="H297" s="11" t="b">
        <v>1</v>
      </c>
      <c r="I297" s="11" t="b">
        <v>1</v>
      </c>
      <c r="J297" s="11" t="b">
        <v>0</v>
      </c>
      <c r="K297" s="11" t="b">
        <v>1</v>
      </c>
      <c r="L297" s="11" t="b">
        <v>1</v>
      </c>
      <c r="M297" s="11" t="b">
        <v>1</v>
      </c>
      <c r="N297" s="11" t="b">
        <v>1</v>
      </c>
      <c r="O297" s="11" t="n">
        <v>16</v>
      </c>
      <c r="P297" s="11" t="n">
        <v>2</v>
      </c>
      <c r="Q297" s="11" t="n">
        <v>0</v>
      </c>
      <c r="R297" s="11" t="n"/>
      <c r="S297" s="24" t="n">
        <v>46188</v>
      </c>
      <c r="T297" s="24" t="n">
        <v>46188</v>
      </c>
      <c r="U297" s="11" t="n">
        <v>7</v>
      </c>
      <c r="V297" s="12" t="n">
        <v>506.4</v>
      </c>
      <c r="W297" s="11" t="inlineStr">
        <is>
          <t>AzZYebVMbVkxCiL4</t>
        </is>
      </c>
      <c r="X297" s="12" t="n"/>
      <c r="Y297" s="11" t="inlineStr">
        <is>
          <t>cancelled</t>
        </is>
      </c>
      <c r="Z297" s="11" t="inlineStr">
        <is>
          <t>gbp_logs</t>
        </is>
      </c>
    </row>
    <row r="298">
      <c r="A298" s="8" t="inlineStr">
        <is>
          <t>358e8178-6044-4c44-b28d-9400f6dcefa3</t>
        </is>
      </c>
      <c r="B298" s="8" t="inlineStr">
        <is>
          <t>Sankofa Braiding &amp; Natural HairCare</t>
        </is>
      </c>
      <c r="C298" s="23" t="n">
        <v>46188</v>
      </c>
      <c r="D298" s="8" t="inlineStr">
        <is>
          <t>2026-06</t>
        </is>
      </c>
      <c r="E298" s="8" t="b">
        <v>1</v>
      </c>
      <c r="F298" s="8" t="b">
        <v>0</v>
      </c>
      <c r="G298" s="8" t="b">
        <v>0</v>
      </c>
      <c r="H298" s="8" t="b">
        <v>0</v>
      </c>
      <c r="I298" s="8" t="b">
        <v>0</v>
      </c>
      <c r="J298" s="8" t="b">
        <v>0</v>
      </c>
      <c r="K298" s="8" t="b">
        <v>0</v>
      </c>
      <c r="L298" s="8" t="b">
        <v>0</v>
      </c>
      <c r="M298" s="8" t="b">
        <v>0</v>
      </c>
      <c r="N298" s="8" t="b">
        <v>0</v>
      </c>
      <c r="O298" s="8" t="n">
        <v>0</v>
      </c>
      <c r="P298" s="8" t="n">
        <v>0</v>
      </c>
      <c r="Q298" s="8" t="n">
        <v>0</v>
      </c>
      <c r="R298" s="8" t="n"/>
      <c r="S298" s="23" t="n"/>
      <c r="T298" s="23" t="n"/>
      <c r="U298" s="8" t="n">
        <v>0</v>
      </c>
      <c r="V298" s="9" t="n">
        <v>0</v>
      </c>
      <c r="W298" s="8" t="inlineStr">
        <is>
          <t>AzZXJJVMdLCmN1qhl</t>
        </is>
      </c>
      <c r="X298" s="9" t="n"/>
      <c r="Y298" s="8" t="n"/>
      <c r="Z298" s="8" t="inlineStr">
        <is>
          <t>gbp</t>
        </is>
      </c>
    </row>
    <row r="299">
      <c r="A299" s="11" t="inlineStr">
        <is>
          <t>7c1e0100-3a01-4b8b-91e2-643fc6c844b4</t>
        </is>
      </c>
      <c r="B299" s="11" t="inlineStr">
        <is>
          <t>Heights Retreat Salon and Spa - facial massage pedicure manicure &amp; lash Houston TX</t>
        </is>
      </c>
      <c r="C299" s="24" t="n">
        <v>46189</v>
      </c>
      <c r="D299" s="11" t="inlineStr">
        <is>
          <t>2026-06</t>
        </is>
      </c>
      <c r="E299" s="11" t="b">
        <v>1</v>
      </c>
      <c r="F299" s="11" t="b">
        <v>1</v>
      </c>
      <c r="G299" s="11" t="b">
        <v>1</v>
      </c>
      <c r="H299" s="11" t="b">
        <v>1</v>
      </c>
      <c r="I299" s="11" t="b">
        <v>1</v>
      </c>
      <c r="J299" s="11" t="b">
        <v>1</v>
      </c>
      <c r="K299" s="11" t="b">
        <v>0</v>
      </c>
      <c r="L299" s="11" t="b">
        <v>1</v>
      </c>
      <c r="M299" s="11" t="b">
        <v>1</v>
      </c>
      <c r="N299" s="11" t="b">
        <v>1</v>
      </c>
      <c r="O299" s="11" t="n">
        <v>14</v>
      </c>
      <c r="P299" s="11" t="n">
        <v>8</v>
      </c>
      <c r="Q299" s="11" t="n">
        <v>0</v>
      </c>
      <c r="R299" s="11" t="n"/>
      <c r="S299" s="24" t="n">
        <v>46189</v>
      </c>
      <c r="T299" s="24" t="n">
        <v>46236</v>
      </c>
      <c r="U299" s="11" t="n">
        <v>8</v>
      </c>
      <c r="V299" s="12" t="n">
        <v>412</v>
      </c>
      <c r="W299" s="11" t="inlineStr">
        <is>
          <t>16BZ98Ur9O82a3o07</t>
        </is>
      </c>
      <c r="X299" s="12" t="n">
        <v>249</v>
      </c>
      <c r="Y299" s="11" t="inlineStr">
        <is>
          <t>active</t>
        </is>
      </c>
      <c r="Z299" s="11" t="inlineStr">
        <is>
          <t>gbp</t>
        </is>
      </c>
    </row>
    <row r="300">
      <c r="A300" s="8" t="inlineStr">
        <is>
          <t>7e641122-2d20-48f5-a6c7-1ba4ff5b991d</t>
        </is>
      </c>
      <c r="B300" s="8" t="inlineStr">
        <is>
          <t>Natasha salon</t>
        </is>
      </c>
      <c r="C300" s="23" t="n">
        <v>46190</v>
      </c>
      <c r="D300" s="8" t="inlineStr">
        <is>
          <t>2026-06</t>
        </is>
      </c>
      <c r="E300" s="8" t="b">
        <v>1</v>
      </c>
      <c r="F300" s="8" t="b">
        <v>1</v>
      </c>
      <c r="G300" s="8" t="b">
        <v>1</v>
      </c>
      <c r="H300" s="8" t="b">
        <v>1</v>
      </c>
      <c r="I300" s="8" t="b">
        <v>1</v>
      </c>
      <c r="J300" s="8" t="b">
        <v>0</v>
      </c>
      <c r="K300" s="8" t="b">
        <v>1</v>
      </c>
      <c r="L300" s="8" t="b">
        <v>1</v>
      </c>
      <c r="M300" s="8" t="b">
        <v>1</v>
      </c>
      <c r="N300" s="8" t="b">
        <v>1</v>
      </c>
      <c r="O300" s="8" t="n">
        <v>4</v>
      </c>
      <c r="P300" s="8" t="n">
        <v>3</v>
      </c>
      <c r="Q300" s="8" t="n">
        <v>0</v>
      </c>
      <c r="R300" s="8" t="n"/>
      <c r="S300" s="23" t="n">
        <v>46190</v>
      </c>
      <c r="T300" s="23" t="n">
        <v>46193</v>
      </c>
      <c r="U300" s="8" t="n">
        <v>1</v>
      </c>
      <c r="V300" s="9" t="n">
        <v>200</v>
      </c>
      <c r="W300" s="8" t="n"/>
      <c r="X300" s="9" t="n"/>
      <c r="Y300" s="8" t="n"/>
      <c r="Z300" s="8" t="inlineStr">
        <is>
          <t>gbp</t>
        </is>
      </c>
    </row>
    <row r="301">
      <c r="A301" s="11" t="inlineStr">
        <is>
          <t>06e735ac-c633-456e-8664-a8ee97f35486</t>
        </is>
      </c>
      <c r="B301" s="11" t="inlineStr">
        <is>
          <t>Saxena spa salon gsisg</t>
        </is>
      </c>
      <c r="C301" s="24" t="n">
        <v>46190</v>
      </c>
      <c r="D301" s="11" t="inlineStr">
        <is>
          <t>2026-06</t>
        </is>
      </c>
      <c r="E301" s="11" t="b">
        <v>1</v>
      </c>
      <c r="F301" s="11" t="b">
        <v>1</v>
      </c>
      <c r="G301" s="11" t="b">
        <v>1</v>
      </c>
      <c r="H301" s="11" t="b">
        <v>1</v>
      </c>
      <c r="I301" s="11" t="b">
        <v>1</v>
      </c>
      <c r="J301" s="11" t="b">
        <v>0</v>
      </c>
      <c r="K301" s="11" t="b">
        <v>1</v>
      </c>
      <c r="L301" s="11" t="b">
        <v>1</v>
      </c>
      <c r="M301" s="11" t="b">
        <v>1</v>
      </c>
      <c r="N301" s="11" t="b">
        <v>1</v>
      </c>
      <c r="O301" s="11" t="n">
        <v>4</v>
      </c>
      <c r="P301" s="11" t="n">
        <v>3</v>
      </c>
      <c r="Q301" s="11" t="n">
        <v>0</v>
      </c>
      <c r="R301" s="11" t="n"/>
      <c r="S301" s="24" t="n">
        <v>46190</v>
      </c>
      <c r="T301" s="24" t="n">
        <v>46190</v>
      </c>
      <c r="U301" s="11" t="n">
        <v>1</v>
      </c>
      <c r="V301" s="12" t="n">
        <v>390</v>
      </c>
      <c r="W301" s="11" t="inlineStr">
        <is>
          <t>6opQgVMoFhwF1p0q</t>
        </is>
      </c>
      <c r="X301" s="12" t="n"/>
      <c r="Y301" s="11" t="inlineStr">
        <is>
          <t>cancelled</t>
        </is>
      </c>
      <c r="Z301" s="11" t="inlineStr">
        <is>
          <t>gbp_logs</t>
        </is>
      </c>
    </row>
    <row r="302">
      <c r="A302" s="8" t="inlineStr">
        <is>
          <t>86cc7d1a-6d76-4a49-8f3c-11ad32431417</t>
        </is>
      </c>
      <c r="B302" s="8" t="inlineStr">
        <is>
          <t>Viora Beauty Spa</t>
        </is>
      </c>
      <c r="C302" s="23" t="n">
        <v>46190</v>
      </c>
      <c r="D302" s="8" t="inlineStr">
        <is>
          <t>2026-06</t>
        </is>
      </c>
      <c r="E302" s="8" t="b">
        <v>1</v>
      </c>
      <c r="F302" s="8" t="b">
        <v>1</v>
      </c>
      <c r="G302" s="8" t="b">
        <v>1</v>
      </c>
      <c r="H302" s="8" t="b">
        <v>1</v>
      </c>
      <c r="I302" s="8" t="b">
        <v>1</v>
      </c>
      <c r="J302" s="8" t="b">
        <v>1</v>
      </c>
      <c r="K302" s="8" t="b">
        <v>1</v>
      </c>
      <c r="L302" s="8" t="b">
        <v>1</v>
      </c>
      <c r="M302" s="8" t="b">
        <v>1</v>
      </c>
      <c r="N302" s="8" t="b">
        <v>1</v>
      </c>
      <c r="O302" s="8" t="n">
        <v>317</v>
      </c>
      <c r="P302" s="8" t="n">
        <v>35</v>
      </c>
      <c r="Q302" s="8" t="n">
        <v>0</v>
      </c>
      <c r="R302" s="8" t="n"/>
      <c r="S302" s="23" t="n">
        <v>46191</v>
      </c>
      <c r="T302" s="23" t="n">
        <v>46236</v>
      </c>
      <c r="U302" s="8" t="n">
        <v>44</v>
      </c>
      <c r="V302" s="9" t="n">
        <v>3924.35</v>
      </c>
      <c r="W302" s="8" t="inlineStr">
        <is>
          <t>16BSCSVMp7TmJ2IC1</t>
        </is>
      </c>
      <c r="X302" s="9" t="n">
        <v>149</v>
      </c>
      <c r="Y302" s="8" t="inlineStr">
        <is>
          <t>active</t>
        </is>
      </c>
      <c r="Z302" s="8" t="inlineStr">
        <is>
          <t>gbp</t>
        </is>
      </c>
    </row>
    <row r="303">
      <c r="A303" s="11" t="inlineStr">
        <is>
          <t>558729b7-6f19-4de4-b76a-59cb9192f294</t>
        </is>
      </c>
      <c r="B303" s="11" t="inlineStr">
        <is>
          <t>Designs by Terrie | Hair Salon</t>
        </is>
      </c>
      <c r="C303" s="24" t="n">
        <v>46190</v>
      </c>
      <c r="D303" s="11" t="inlineStr">
        <is>
          <t>2026-06</t>
        </is>
      </c>
      <c r="E303" s="11" t="b">
        <v>1</v>
      </c>
      <c r="F303" s="11" t="b">
        <v>1</v>
      </c>
      <c r="G303" s="11" t="b">
        <v>1</v>
      </c>
      <c r="H303" s="11" t="b">
        <v>1</v>
      </c>
      <c r="I303" s="11" t="b">
        <v>1</v>
      </c>
      <c r="J303" s="11" t="b">
        <v>0</v>
      </c>
      <c r="K303" s="11" t="b">
        <v>1</v>
      </c>
      <c r="L303" s="11" t="b">
        <v>1</v>
      </c>
      <c r="M303" s="11" t="b">
        <v>1</v>
      </c>
      <c r="N303" s="11" t="b">
        <v>1</v>
      </c>
      <c r="O303" s="11" t="n">
        <v>3</v>
      </c>
      <c r="P303" s="11" t="n">
        <v>3</v>
      </c>
      <c r="Q303" s="11" t="n">
        <v>0</v>
      </c>
      <c r="R303" s="11" t="n"/>
      <c r="S303" s="24" t="n">
        <v>46208</v>
      </c>
      <c r="T303" s="24" t="n">
        <v>46211</v>
      </c>
      <c r="U303" s="11" t="n">
        <v>0</v>
      </c>
      <c r="V303" s="12" t="n">
        <v>0</v>
      </c>
      <c r="W303" s="11" t="inlineStr">
        <is>
          <t>cus_PSCqp2cfPX10XX</t>
        </is>
      </c>
      <c r="X303" s="12" t="n">
        <v>70</v>
      </c>
      <c r="Y303" s="11" t="inlineStr">
        <is>
          <t>active</t>
        </is>
      </c>
      <c r="Z303" s="11" t="inlineStr">
        <is>
          <t>gbp</t>
        </is>
      </c>
    </row>
    <row r="304">
      <c r="A304" s="8" t="inlineStr">
        <is>
          <t>71031ed6-149b-4398-9244-5b90c7a565ff</t>
        </is>
      </c>
      <c r="B304" s="8" t="inlineStr">
        <is>
          <t>Amenity Wax Spot &amp; Spa</t>
        </is>
      </c>
      <c r="C304" s="23" t="n">
        <v>46190</v>
      </c>
      <c r="D304" s="8" t="inlineStr">
        <is>
          <t>2026-06</t>
        </is>
      </c>
      <c r="E304" s="8" t="b">
        <v>1</v>
      </c>
      <c r="F304" s="8" t="b">
        <v>1</v>
      </c>
      <c r="G304" s="8" t="b">
        <v>1</v>
      </c>
      <c r="H304" s="8" t="b">
        <v>1</v>
      </c>
      <c r="I304" s="8" t="b">
        <v>1</v>
      </c>
      <c r="J304" s="8" t="b">
        <v>0</v>
      </c>
      <c r="K304" s="8" t="b">
        <v>1</v>
      </c>
      <c r="L304" s="8" t="b">
        <v>1</v>
      </c>
      <c r="M304" s="8" t="b">
        <v>1</v>
      </c>
      <c r="N304" s="8" t="b">
        <v>1</v>
      </c>
      <c r="O304" s="8" t="n">
        <v>34</v>
      </c>
      <c r="P304" s="8" t="n">
        <v>23</v>
      </c>
      <c r="Q304" s="8" t="n">
        <v>0</v>
      </c>
      <c r="R304" s="8" t="n"/>
      <c r="S304" s="23" t="n">
        <v>46190</v>
      </c>
      <c r="T304" s="23" t="n">
        <v>46234</v>
      </c>
      <c r="U304" s="8" t="n">
        <v>6</v>
      </c>
      <c r="V304" s="9" t="n">
        <v>155</v>
      </c>
      <c r="W304" s="8" t="inlineStr">
        <is>
          <t>16BaFTVFSXmKn57oO</t>
        </is>
      </c>
      <c r="X304" s="9" t="n">
        <v>150</v>
      </c>
      <c r="Y304" s="8" t="inlineStr">
        <is>
          <t>active</t>
        </is>
      </c>
      <c r="Z304" s="8" t="inlineStr">
        <is>
          <t>gbp</t>
        </is>
      </c>
    </row>
    <row r="305">
      <c r="A305" s="11" t="inlineStr">
        <is>
          <t>18688cc9-d064-4a26-b47e-2d32f36cfe76</t>
        </is>
      </c>
      <c r="B305" s="11" t="inlineStr">
        <is>
          <t>New Jersey Facial &amp; Body Rejuvenation</t>
        </is>
      </c>
      <c r="C305" s="24" t="n">
        <v>46191</v>
      </c>
      <c r="D305" s="11" t="inlineStr">
        <is>
          <t>2026-06</t>
        </is>
      </c>
      <c r="E305" s="11" t="b">
        <v>0</v>
      </c>
      <c r="F305" s="11" t="b">
        <v>1</v>
      </c>
      <c r="G305" s="11" t="b">
        <v>1</v>
      </c>
      <c r="H305" s="11" t="b">
        <v>1</v>
      </c>
      <c r="I305" s="11" t="b">
        <v>1</v>
      </c>
      <c r="J305" s="11" t="b">
        <v>0</v>
      </c>
      <c r="K305" s="11" t="b">
        <v>1</v>
      </c>
      <c r="L305" s="11" t="b">
        <v>0</v>
      </c>
      <c r="M305" s="11" t="b">
        <v>0</v>
      </c>
      <c r="N305" s="11" t="b">
        <v>1</v>
      </c>
      <c r="O305" s="11" t="n">
        <v>1</v>
      </c>
      <c r="P305" s="11" t="n">
        <v>1</v>
      </c>
      <c r="Q305" s="11" t="n">
        <v>0</v>
      </c>
      <c r="R305" s="11" t="n"/>
      <c r="S305" s="24" t="n">
        <v>46215</v>
      </c>
      <c r="T305" s="24" t="n">
        <v>46215</v>
      </c>
      <c r="U305" s="11" t="n">
        <v>0</v>
      </c>
      <c r="V305" s="12" t="n">
        <v>0</v>
      </c>
      <c r="W305" s="11" t="inlineStr">
        <is>
          <t>16A6g7VNZ6WBy1LZZ</t>
        </is>
      </c>
      <c r="X305" s="12" t="n"/>
      <c r="Y305" s="11" t="n"/>
      <c r="Z305" s="11" t="inlineStr">
        <is>
          <t>gbp</t>
        </is>
      </c>
    </row>
    <row r="306">
      <c r="A306" s="8" t="inlineStr">
        <is>
          <t>0eb9a684-e6cd-4771-81e1-4b694af06aa2</t>
        </is>
      </c>
      <c r="B306" s="8" t="inlineStr">
        <is>
          <t>Saxena spa salon gsisg</t>
        </is>
      </c>
      <c r="C306" s="23" t="n">
        <v>46192</v>
      </c>
      <c r="D306" s="8" t="inlineStr">
        <is>
          <t>2026-06</t>
        </is>
      </c>
      <c r="E306" s="8" t="b">
        <v>1</v>
      </c>
      <c r="F306" s="8" t="b">
        <v>1</v>
      </c>
      <c r="G306" s="8" t="b">
        <v>1</v>
      </c>
      <c r="H306" s="8" t="b">
        <v>1</v>
      </c>
      <c r="I306" s="8" t="b">
        <v>1</v>
      </c>
      <c r="J306" s="8" t="b">
        <v>0</v>
      </c>
      <c r="K306" s="8" t="b">
        <v>1</v>
      </c>
      <c r="L306" s="8" t="b">
        <v>1</v>
      </c>
      <c r="M306" s="8" t="b">
        <v>1</v>
      </c>
      <c r="N306" s="8" t="b">
        <v>1</v>
      </c>
      <c r="O306" s="8" t="n">
        <v>0</v>
      </c>
      <c r="P306" s="8" t="n">
        <v>0</v>
      </c>
      <c r="Q306" s="8" t="n">
        <v>0</v>
      </c>
      <c r="R306" s="8" t="n"/>
      <c r="S306" s="23" t="n"/>
      <c r="T306" s="23" t="n"/>
      <c r="U306" s="8" t="n">
        <v>0</v>
      </c>
      <c r="V306" s="9" t="n">
        <v>0</v>
      </c>
      <c r="W306" s="8" t="inlineStr">
        <is>
          <t>16CH5tVMyLq7uTR1</t>
        </is>
      </c>
      <c r="X306" s="9" t="n"/>
      <c r="Y306" s="8" t="inlineStr">
        <is>
          <t>cancelled</t>
        </is>
      </c>
      <c r="Z306" s="8" t="inlineStr">
        <is>
          <t>gbp_logs</t>
        </is>
      </c>
    </row>
    <row r="307">
      <c r="A307" s="11" t="inlineStr">
        <is>
          <t>d309fe98-4445-42ad-a465-58943bd7db82</t>
        </is>
      </c>
      <c r="B307" s="11" t="inlineStr">
        <is>
          <t>Saxena spa salon gsisg</t>
        </is>
      </c>
      <c r="C307" s="24" t="n">
        <v>46192</v>
      </c>
      <c r="D307" s="11" t="inlineStr">
        <is>
          <t>2026-06</t>
        </is>
      </c>
      <c r="E307" s="11" t="b">
        <v>1</v>
      </c>
      <c r="F307" s="11" t="b">
        <v>1</v>
      </c>
      <c r="G307" s="11" t="b">
        <v>1</v>
      </c>
      <c r="H307" s="11" t="b">
        <v>1</v>
      </c>
      <c r="I307" s="11" t="b">
        <v>1</v>
      </c>
      <c r="J307" s="11" t="b">
        <v>0</v>
      </c>
      <c r="K307" s="11" t="b">
        <v>1</v>
      </c>
      <c r="L307" s="11" t="b">
        <v>1</v>
      </c>
      <c r="M307" s="11" t="b">
        <v>1</v>
      </c>
      <c r="N307" s="11" t="b">
        <v>1</v>
      </c>
      <c r="O307" s="11" t="n">
        <v>10</v>
      </c>
      <c r="P307" s="11" t="n">
        <v>7</v>
      </c>
      <c r="Q307" s="11" t="n">
        <v>0</v>
      </c>
      <c r="R307" s="11" t="n"/>
      <c r="S307" s="24" t="n">
        <v>46192</v>
      </c>
      <c r="T307" s="24" t="n">
        <v>46193</v>
      </c>
      <c r="U307" s="11" t="n">
        <v>2</v>
      </c>
      <c r="V307" s="12" t="n">
        <v>149</v>
      </c>
      <c r="W307" s="11" t="inlineStr">
        <is>
          <t>AzyzU8VMyOmiNUmo</t>
        </is>
      </c>
      <c r="X307" s="12" t="n"/>
      <c r="Y307" s="11" t="inlineStr">
        <is>
          <t>cancelled</t>
        </is>
      </c>
      <c r="Z307" s="11" t="inlineStr">
        <is>
          <t>chargebee_company</t>
        </is>
      </c>
    </row>
    <row r="308">
      <c r="A308" s="8" t="inlineStr">
        <is>
          <t>43d2e527-f67d-4c2a-8f20-b399b82640c6</t>
        </is>
      </c>
      <c r="B308" s="8" t="inlineStr">
        <is>
          <t>Sinkor Beauty Salon - Hair, Spa &amp; Beauty</t>
        </is>
      </c>
      <c r="C308" s="23" t="n">
        <v>46192</v>
      </c>
      <c r="D308" s="8" t="inlineStr">
        <is>
          <t>2026-06</t>
        </is>
      </c>
      <c r="E308" s="8" t="b">
        <v>1</v>
      </c>
      <c r="F308" s="8" t="b">
        <v>1</v>
      </c>
      <c r="G308" s="8" t="b">
        <v>1</v>
      </c>
      <c r="H308" s="8" t="b">
        <v>1</v>
      </c>
      <c r="I308" s="8" t="b">
        <v>0</v>
      </c>
      <c r="J308" s="8" t="b">
        <v>0</v>
      </c>
      <c r="K308" s="8" t="b">
        <v>0</v>
      </c>
      <c r="L308" s="8" t="b">
        <v>0</v>
      </c>
      <c r="M308" s="8" t="b">
        <v>0</v>
      </c>
      <c r="N308" s="8" t="b">
        <v>0</v>
      </c>
      <c r="O308" s="8" t="n">
        <v>0</v>
      </c>
      <c r="P308" s="8" t="n">
        <v>0</v>
      </c>
      <c r="Q308" s="8" t="n">
        <v>0</v>
      </c>
      <c r="R308" s="8" t="n"/>
      <c r="S308" s="23" t="n"/>
      <c r="T308" s="23" t="n"/>
      <c r="U308" s="8" t="n">
        <v>0</v>
      </c>
      <c r="V308" s="9" t="n">
        <v>0</v>
      </c>
      <c r="W308" s="8" t="inlineStr">
        <is>
          <t>AzZcOiUwRg8tf3wBX</t>
        </is>
      </c>
      <c r="X308" s="9" t="n">
        <v>100</v>
      </c>
      <c r="Y308" s="8" t="inlineStr">
        <is>
          <t>active</t>
        </is>
      </c>
      <c r="Z308" s="8" t="inlineStr">
        <is>
          <t>gbp</t>
        </is>
      </c>
    </row>
    <row r="309">
      <c r="A309" s="11" t="inlineStr">
        <is>
          <t>4dc3cd57-9a9f-4e8b-bfa8-3bc6460bb328</t>
        </is>
      </c>
      <c r="B309" s="11" t="inlineStr">
        <is>
          <t>Natasha Braids</t>
        </is>
      </c>
      <c r="C309" s="24" t="n">
        <v>46195</v>
      </c>
      <c r="D309" s="11" t="inlineStr">
        <is>
          <t>2026-06</t>
        </is>
      </c>
      <c r="E309" s="11" t="b">
        <v>1</v>
      </c>
      <c r="F309" s="11" t="b">
        <v>1</v>
      </c>
      <c r="G309" s="11" t="b">
        <v>1</v>
      </c>
      <c r="H309" s="11" t="b">
        <v>1</v>
      </c>
      <c r="I309" s="11" t="b">
        <v>1</v>
      </c>
      <c r="J309" s="11" t="b">
        <v>0</v>
      </c>
      <c r="K309" s="11" t="b">
        <v>1</v>
      </c>
      <c r="L309" s="11" t="b">
        <v>1</v>
      </c>
      <c r="M309" s="11" t="b">
        <v>1</v>
      </c>
      <c r="N309" s="11" t="b">
        <v>1</v>
      </c>
      <c r="O309" s="11" t="n">
        <v>7</v>
      </c>
      <c r="P309" s="11" t="n">
        <v>7</v>
      </c>
      <c r="Q309" s="11" t="n">
        <v>0</v>
      </c>
      <c r="R309" s="11" t="n"/>
      <c r="S309" s="24" t="n">
        <v>46196</v>
      </c>
      <c r="T309" s="24" t="n">
        <v>46196</v>
      </c>
      <c r="U309" s="11" t="n">
        <v>0</v>
      </c>
      <c r="V309" s="12" t="n">
        <v>0</v>
      </c>
      <c r="W309" s="11" t="inlineStr">
        <is>
          <t>169xcKVNHfZ9i1NoK</t>
        </is>
      </c>
      <c r="X309" s="12" t="n"/>
      <c r="Y309" s="11" t="inlineStr">
        <is>
          <t>cancelled</t>
        </is>
      </c>
      <c r="Z309" s="11" t="inlineStr">
        <is>
          <t>gbp_logs</t>
        </is>
      </c>
    </row>
    <row r="310">
      <c r="A310" s="8" t="inlineStr">
        <is>
          <t>ceebf0e9-19ca-4f99-8adc-b34f9e75b1bd</t>
        </is>
      </c>
      <c r="B310" s="8" t="inlineStr">
        <is>
          <t>Shine BE Happy - Hair, Nails &amp; Skincare</t>
        </is>
      </c>
      <c r="C310" s="23" t="n">
        <v>46195</v>
      </c>
      <c r="D310" s="8" t="inlineStr">
        <is>
          <t>2026-06</t>
        </is>
      </c>
      <c r="E310" s="8" t="b">
        <v>1</v>
      </c>
      <c r="F310" s="8" t="b">
        <v>1</v>
      </c>
      <c r="G310" s="8" t="b">
        <v>1</v>
      </c>
      <c r="H310" s="8" t="b">
        <v>1</v>
      </c>
      <c r="I310" s="8" t="b">
        <v>1</v>
      </c>
      <c r="J310" s="8" t="b">
        <v>0</v>
      </c>
      <c r="K310" s="8" t="b">
        <v>1</v>
      </c>
      <c r="L310" s="8" t="b">
        <v>1</v>
      </c>
      <c r="M310" s="8" t="b">
        <v>1</v>
      </c>
      <c r="N310" s="8" t="b">
        <v>1</v>
      </c>
      <c r="O310" s="8" t="n">
        <v>7</v>
      </c>
      <c r="P310" s="8" t="n">
        <v>0</v>
      </c>
      <c r="Q310" s="8" t="n">
        <v>0</v>
      </c>
      <c r="R310" s="8" t="n"/>
      <c r="S310" s="23" t="n">
        <v>46225</v>
      </c>
      <c r="T310" s="23" t="n">
        <v>46237</v>
      </c>
      <c r="U310" s="8" t="n">
        <v>0</v>
      </c>
      <c r="V310" s="9" t="n">
        <v>0</v>
      </c>
      <c r="W310" s="8" t="inlineStr">
        <is>
          <t>cus_PM7OMgw7oXsQfD</t>
        </is>
      </c>
      <c r="X310" s="9" t="n">
        <v>120</v>
      </c>
      <c r="Y310" s="8" t="inlineStr">
        <is>
          <t>active</t>
        </is>
      </c>
      <c r="Z310" s="8" t="inlineStr">
        <is>
          <t>gbp</t>
        </is>
      </c>
    </row>
    <row r="311">
      <c r="A311" s="11" t="inlineStr">
        <is>
          <t>1d25fd64-ff11-478c-b68c-fd6f6fc94bce</t>
        </is>
      </c>
      <c r="B311" s="11" t="inlineStr">
        <is>
          <t>The Allure Marian Unisex Salon</t>
        </is>
      </c>
      <c r="C311" s="24" t="n">
        <v>46195</v>
      </c>
      <c r="D311" s="11" t="inlineStr">
        <is>
          <t>2026-06</t>
        </is>
      </c>
      <c r="E311" s="11" t="b">
        <v>1</v>
      </c>
      <c r="F311" s="11" t="b">
        <v>1</v>
      </c>
      <c r="G311" s="11" t="b">
        <v>1</v>
      </c>
      <c r="H311" s="11" t="b">
        <v>1</v>
      </c>
      <c r="I311" s="11" t="b">
        <v>1</v>
      </c>
      <c r="J311" s="11" t="b">
        <v>0</v>
      </c>
      <c r="K311" s="11" t="b">
        <v>1</v>
      </c>
      <c r="L311" s="11" t="b">
        <v>1</v>
      </c>
      <c r="M311" s="11" t="b">
        <v>1</v>
      </c>
      <c r="N311" s="11" t="b">
        <v>1</v>
      </c>
      <c r="O311" s="11" t="n">
        <v>4</v>
      </c>
      <c r="P311" s="11" t="n">
        <v>4</v>
      </c>
      <c r="Q311" s="11" t="n">
        <v>438</v>
      </c>
      <c r="R311" s="11" t="inlineStr">
        <is>
          <t>SQUARE</t>
        </is>
      </c>
      <c r="S311" s="24" t="n">
        <v>46218</v>
      </c>
      <c r="T311" s="24" t="n">
        <v>46234</v>
      </c>
      <c r="U311" s="11" t="n">
        <v>0</v>
      </c>
      <c r="V311" s="12" t="n">
        <v>0</v>
      </c>
      <c r="W311" s="11" t="inlineStr">
        <is>
          <t>16CG1rUtZh3UL1rnM</t>
        </is>
      </c>
      <c r="X311" s="12" t="n">
        <v>249</v>
      </c>
      <c r="Y311" s="11" t="inlineStr">
        <is>
          <t>active</t>
        </is>
      </c>
      <c r="Z311" s="11" t="inlineStr">
        <is>
          <t>gbp</t>
        </is>
      </c>
    </row>
    <row r="312">
      <c r="A312" s="8" t="inlineStr">
        <is>
          <t>d8a536db-871e-4331-b328-027d4b5c17a4</t>
        </is>
      </c>
      <c r="B312" s="8" t="inlineStr">
        <is>
          <t>Kismet Beauty Collection</t>
        </is>
      </c>
      <c r="C312" s="23" t="n">
        <v>46195</v>
      </c>
      <c r="D312" s="8" t="inlineStr">
        <is>
          <t>2026-06</t>
        </is>
      </c>
      <c r="E312" s="8" t="b">
        <v>1</v>
      </c>
      <c r="F312" s="8" t="b">
        <v>1</v>
      </c>
      <c r="G312" s="8" t="b">
        <v>1</v>
      </c>
      <c r="H312" s="8" t="b">
        <v>1</v>
      </c>
      <c r="I312" s="8" t="b">
        <v>1</v>
      </c>
      <c r="J312" s="8" t="b">
        <v>1</v>
      </c>
      <c r="K312" s="8" t="b">
        <v>1</v>
      </c>
      <c r="L312" s="8" t="b">
        <v>1</v>
      </c>
      <c r="M312" s="8" t="b">
        <v>1</v>
      </c>
      <c r="N312" s="8" t="b">
        <v>1</v>
      </c>
      <c r="O312" s="8" t="n">
        <v>98</v>
      </c>
      <c r="P312" s="8" t="n">
        <v>13</v>
      </c>
      <c r="Q312" s="8" t="n">
        <v>0</v>
      </c>
      <c r="R312" s="8" t="n"/>
      <c r="S312" s="23" t="n">
        <v>46196</v>
      </c>
      <c r="T312" s="23" t="n">
        <v>46237</v>
      </c>
      <c r="U312" s="8" t="n">
        <v>56</v>
      </c>
      <c r="V312" s="9" t="n">
        <v>3741.55</v>
      </c>
      <c r="W312" s="8" t="inlineStr">
        <is>
          <t>169zslVNIkWBg2ChA</t>
        </is>
      </c>
      <c r="X312" s="9" t="n">
        <v>149</v>
      </c>
      <c r="Y312" s="8" t="inlineStr">
        <is>
          <t>active</t>
        </is>
      </c>
      <c r="Z312" s="8" t="inlineStr">
        <is>
          <t>gbp</t>
        </is>
      </c>
    </row>
    <row r="313">
      <c r="A313" s="11" t="inlineStr">
        <is>
          <t>601f25e3-f49e-433f-8d64-7e1f1f11b188</t>
        </is>
      </c>
      <c r="B313" s="11" t="inlineStr">
        <is>
          <t>Ksweetshaircompany® Medical Wigs &amp; Hair Restoration</t>
        </is>
      </c>
      <c r="C313" s="24" t="n">
        <v>46195</v>
      </c>
      <c r="D313" s="11" t="inlineStr">
        <is>
          <t>2026-06</t>
        </is>
      </c>
      <c r="E313" s="11" t="b">
        <v>1</v>
      </c>
      <c r="F313" s="11" t="b">
        <v>1</v>
      </c>
      <c r="G313" s="11" t="b">
        <v>1</v>
      </c>
      <c r="H313" s="11" t="b">
        <v>1</v>
      </c>
      <c r="I313" s="11" t="b">
        <v>1</v>
      </c>
      <c r="J313" s="11" t="b">
        <v>0</v>
      </c>
      <c r="K313" s="11" t="b">
        <v>1</v>
      </c>
      <c r="L313" s="11" t="b">
        <v>1</v>
      </c>
      <c r="M313" s="11" t="b">
        <v>1</v>
      </c>
      <c r="N313" s="11" t="b">
        <v>1</v>
      </c>
      <c r="O313" s="11" t="n">
        <v>0</v>
      </c>
      <c r="P313" s="11" t="n">
        <v>0</v>
      </c>
      <c r="Q313" s="11" t="n">
        <v>0</v>
      </c>
      <c r="R313" s="11" t="n"/>
      <c r="S313" s="24" t="n"/>
      <c r="T313" s="24" t="n"/>
      <c r="U313" s="11" t="n">
        <v>0</v>
      </c>
      <c r="V313" s="12" t="n">
        <v>0</v>
      </c>
      <c r="W313" s="11" t="inlineStr">
        <is>
          <t>169sM2UwERmUE1Jta</t>
        </is>
      </c>
      <c r="X313" s="12" t="n">
        <v>99</v>
      </c>
      <c r="Y313" s="11" t="inlineStr">
        <is>
          <t>active</t>
        </is>
      </c>
      <c r="Z313" s="11" t="inlineStr">
        <is>
          <t>gbp</t>
        </is>
      </c>
    </row>
    <row r="314">
      <c r="A314" s="8" t="inlineStr">
        <is>
          <t>54897e8f-af0e-4ce7-ae61-1ef5749d2688</t>
        </is>
      </c>
      <c r="B314" s="8" t="inlineStr">
        <is>
          <t>Saxena spa salon gsisg</t>
        </is>
      </c>
      <c r="C314" s="23" t="n">
        <v>46196</v>
      </c>
      <c r="D314" s="8" t="inlineStr">
        <is>
          <t>2026-06</t>
        </is>
      </c>
      <c r="E314" s="8" t="b">
        <v>1</v>
      </c>
      <c r="F314" s="8" t="b">
        <v>1</v>
      </c>
      <c r="G314" s="8" t="b">
        <v>1</v>
      </c>
      <c r="H314" s="8" t="b">
        <v>1</v>
      </c>
      <c r="I314" s="8" t="b">
        <v>1</v>
      </c>
      <c r="J314" s="8" t="b">
        <v>0</v>
      </c>
      <c r="K314" s="8" t="b">
        <v>1</v>
      </c>
      <c r="L314" s="8" t="b">
        <v>1</v>
      </c>
      <c r="M314" s="8" t="b">
        <v>1</v>
      </c>
      <c r="N314" s="8" t="b">
        <v>1</v>
      </c>
      <c r="O314" s="8" t="n">
        <v>0</v>
      </c>
      <c r="P314" s="8" t="n">
        <v>0</v>
      </c>
      <c r="Q314" s="8" t="n">
        <v>0</v>
      </c>
      <c r="R314" s="8" t="n"/>
      <c r="S314" s="23" t="n"/>
      <c r="T314" s="23" t="n"/>
      <c r="U314" s="8" t="n">
        <v>0</v>
      </c>
      <c r="V314" s="9" t="n">
        <v>0</v>
      </c>
      <c r="W314" s="8" t="inlineStr">
        <is>
          <t>16CFS5VNMwQ4I16ck</t>
        </is>
      </c>
      <c r="X314" s="9" t="n"/>
      <c r="Y314" s="8" t="inlineStr">
        <is>
          <t>in_trial</t>
        </is>
      </c>
      <c r="Z314" s="8" t="inlineStr">
        <is>
          <t>gbp_logs</t>
        </is>
      </c>
    </row>
    <row r="315">
      <c r="A315" s="11" t="inlineStr">
        <is>
          <t>94675ce6-a2ed-4680-b6be-05623a45e196</t>
        </is>
      </c>
      <c r="B315" s="11" t="inlineStr">
        <is>
          <t>Celebrityz Barbershop</t>
        </is>
      </c>
      <c r="C315" s="24" t="n">
        <v>46196</v>
      </c>
      <c r="D315" s="11" t="inlineStr">
        <is>
          <t>2026-06</t>
        </is>
      </c>
      <c r="E315" s="11" t="b">
        <v>1</v>
      </c>
      <c r="F315" s="11" t="b">
        <v>1</v>
      </c>
      <c r="G315" s="11" t="b">
        <v>1</v>
      </c>
      <c r="H315" s="11" t="b">
        <v>1</v>
      </c>
      <c r="I315" s="11" t="b">
        <v>1</v>
      </c>
      <c r="J315" s="11" t="b">
        <v>0</v>
      </c>
      <c r="K315" s="11" t="b">
        <v>1</v>
      </c>
      <c r="L315" s="11" t="b">
        <v>1</v>
      </c>
      <c r="M315" s="11" t="b">
        <v>1</v>
      </c>
      <c r="N315" s="11" t="b">
        <v>1</v>
      </c>
      <c r="O315" s="11" t="n">
        <v>39</v>
      </c>
      <c r="P315" s="11" t="n">
        <v>39</v>
      </c>
      <c r="Q315" s="11" t="n">
        <v>0</v>
      </c>
      <c r="R315" s="11" t="n"/>
      <c r="S315" s="24" t="n">
        <v>46196</v>
      </c>
      <c r="T315" s="24" t="n">
        <v>46237</v>
      </c>
      <c r="U315" s="11" t="n">
        <v>4</v>
      </c>
      <c r="V315" s="12" t="n">
        <v>230</v>
      </c>
      <c r="W315" s="11" t="inlineStr">
        <is>
          <t>cus_QZsLOmGGygvs4X</t>
        </is>
      </c>
      <c r="X315" s="12" t="n">
        <v>774</v>
      </c>
      <c r="Y315" s="11" t="inlineStr">
        <is>
          <t>active</t>
        </is>
      </c>
      <c r="Z315" s="11" t="inlineStr">
        <is>
          <t>gbp</t>
        </is>
      </c>
    </row>
    <row r="316">
      <c r="A316" s="8" t="inlineStr">
        <is>
          <t>4fa91a08-d4af-4e73-a8aa-e69e8c12996b</t>
        </is>
      </c>
      <c r="B316" s="8" t="inlineStr">
        <is>
          <t>CELEBRITYZ BARBERSHOP</t>
        </is>
      </c>
      <c r="C316" s="23" t="n">
        <v>46196</v>
      </c>
      <c r="D316" s="8" t="inlineStr">
        <is>
          <t>2026-06</t>
        </is>
      </c>
      <c r="E316" s="8" t="b">
        <v>1</v>
      </c>
      <c r="F316" s="8" t="b">
        <v>1</v>
      </c>
      <c r="G316" s="8" t="b">
        <v>1</v>
      </c>
      <c r="H316" s="8" t="b">
        <v>1</v>
      </c>
      <c r="I316" s="8" t="b">
        <v>1</v>
      </c>
      <c r="J316" s="8" t="b">
        <v>0</v>
      </c>
      <c r="K316" s="8" t="b">
        <v>1</v>
      </c>
      <c r="L316" s="8" t="b">
        <v>1</v>
      </c>
      <c r="M316" s="8" t="b">
        <v>1</v>
      </c>
      <c r="N316" s="8" t="b">
        <v>1</v>
      </c>
      <c r="O316" s="8" t="n">
        <v>22</v>
      </c>
      <c r="P316" s="8" t="n">
        <v>21</v>
      </c>
      <c r="Q316" s="8" t="n">
        <v>0</v>
      </c>
      <c r="R316" s="8" t="n"/>
      <c r="S316" s="23" t="n">
        <v>46196</v>
      </c>
      <c r="T316" s="23" t="n">
        <v>46236</v>
      </c>
      <c r="U316" s="8" t="n">
        <v>2</v>
      </c>
      <c r="V316" s="9" t="n">
        <v>100</v>
      </c>
      <c r="W316" s="8" t="inlineStr">
        <is>
          <t>cus_QZsLOmGGygvs4X</t>
        </is>
      </c>
      <c r="X316" s="9" t="n">
        <v>774</v>
      </c>
      <c r="Y316" s="8" t="inlineStr">
        <is>
          <t>active</t>
        </is>
      </c>
      <c r="Z316" s="8" t="inlineStr">
        <is>
          <t>gbp</t>
        </is>
      </c>
    </row>
    <row r="317">
      <c r="A317" s="11" t="inlineStr">
        <is>
          <t>e7b45fde-5084-4667-940f-908b9cceaa1d</t>
        </is>
      </c>
      <c r="B317" s="11" t="inlineStr">
        <is>
          <t>Celebrityz Barbershop</t>
        </is>
      </c>
      <c r="C317" s="24" t="n">
        <v>46196</v>
      </c>
      <c r="D317" s="11" t="inlineStr">
        <is>
          <t>2026-06</t>
        </is>
      </c>
      <c r="E317" s="11" t="b">
        <v>1</v>
      </c>
      <c r="F317" s="11" t="b">
        <v>1</v>
      </c>
      <c r="G317" s="11" t="b">
        <v>1</v>
      </c>
      <c r="H317" s="11" t="b">
        <v>1</v>
      </c>
      <c r="I317" s="11" t="b">
        <v>1</v>
      </c>
      <c r="J317" s="11" t="b">
        <v>0</v>
      </c>
      <c r="K317" s="11" t="b">
        <v>1</v>
      </c>
      <c r="L317" s="11" t="b">
        <v>1</v>
      </c>
      <c r="M317" s="11" t="b">
        <v>1</v>
      </c>
      <c r="N317" s="11" t="b">
        <v>1</v>
      </c>
      <c r="O317" s="11" t="n">
        <v>48</v>
      </c>
      <c r="P317" s="11" t="n">
        <v>48</v>
      </c>
      <c r="Q317" s="11" t="n">
        <v>0</v>
      </c>
      <c r="R317" s="11" t="n"/>
      <c r="S317" s="24" t="n">
        <v>46197</v>
      </c>
      <c r="T317" s="24" t="n">
        <v>46237</v>
      </c>
      <c r="U317" s="11" t="n">
        <v>2</v>
      </c>
      <c r="V317" s="12" t="n">
        <v>110</v>
      </c>
      <c r="W317" s="11" t="inlineStr">
        <is>
          <t>cus_QZsLOmGGygvs4X</t>
        </is>
      </c>
      <c r="X317" s="12" t="n">
        <v>774</v>
      </c>
      <c r="Y317" s="11" t="inlineStr">
        <is>
          <t>active</t>
        </is>
      </c>
      <c r="Z317" s="11" t="inlineStr">
        <is>
          <t>gbp</t>
        </is>
      </c>
    </row>
    <row r="318">
      <c r="A318" s="8" t="inlineStr">
        <is>
          <t>5f07f6e1-b4ed-4c52-b7fe-60137a156679</t>
        </is>
      </c>
      <c r="B318" s="8" t="inlineStr">
        <is>
          <t>Azu"s salon</t>
        </is>
      </c>
      <c r="C318" s="23" t="n">
        <v>46196</v>
      </c>
      <c r="D318" s="8" t="inlineStr">
        <is>
          <t>2026-06</t>
        </is>
      </c>
      <c r="E318" s="8" t="b">
        <v>1</v>
      </c>
      <c r="F318" s="8" t="b">
        <v>1</v>
      </c>
      <c r="G318" s="8" t="b">
        <v>1</v>
      </c>
      <c r="H318" s="8" t="b">
        <v>1</v>
      </c>
      <c r="I318" s="8" t="b">
        <v>1</v>
      </c>
      <c r="J318" s="8" t="b">
        <v>0</v>
      </c>
      <c r="K318" s="8" t="b">
        <v>1</v>
      </c>
      <c r="L318" s="8" t="b">
        <v>1</v>
      </c>
      <c r="M318" s="8" t="b">
        <v>1</v>
      </c>
      <c r="N318" s="8" t="b">
        <v>1</v>
      </c>
      <c r="O318" s="8" t="n">
        <v>0</v>
      </c>
      <c r="P318" s="8" t="n">
        <v>0</v>
      </c>
      <c r="Q318" s="8" t="n">
        <v>0</v>
      </c>
      <c r="R318" s="8" t="n"/>
      <c r="S318" s="23" t="n"/>
      <c r="T318" s="23" t="n"/>
      <c r="U318" s="8" t="n">
        <v>0</v>
      </c>
      <c r="V318" s="9" t="n">
        <v>0</v>
      </c>
      <c r="W318" s="8" t="inlineStr">
        <is>
          <t>6oZeTVNOTDU522uo</t>
        </is>
      </c>
      <c r="X318" s="9" t="n"/>
      <c r="Y318" s="8" t="n"/>
      <c r="Z318" s="8" t="inlineStr">
        <is>
          <t>gbp</t>
        </is>
      </c>
    </row>
    <row r="319">
      <c r="A319" s="11" t="inlineStr">
        <is>
          <t>379b51e2-4210-463f-88e8-af86c7322113</t>
        </is>
      </c>
      <c r="B319" s="11" t="inlineStr">
        <is>
          <t>RCs Waxing &amp; Threading Stone Mountain</t>
        </is>
      </c>
      <c r="C319" s="24" t="n">
        <v>46197</v>
      </c>
      <c r="D319" s="11" t="inlineStr">
        <is>
          <t>2026-06</t>
        </is>
      </c>
      <c r="E319" s="11" t="b">
        <v>1</v>
      </c>
      <c r="F319" s="11" t="b">
        <v>1</v>
      </c>
      <c r="G319" s="11" t="b">
        <v>1</v>
      </c>
      <c r="H319" s="11" t="b">
        <v>1</v>
      </c>
      <c r="I319" s="11" t="b">
        <v>1</v>
      </c>
      <c r="J319" s="11" t="b">
        <v>0</v>
      </c>
      <c r="K319" s="11" t="b">
        <v>1</v>
      </c>
      <c r="L319" s="11" t="b">
        <v>1</v>
      </c>
      <c r="M319" s="11" t="b">
        <v>1</v>
      </c>
      <c r="N319" s="11" t="b">
        <v>1</v>
      </c>
      <c r="O319" s="11" t="n">
        <v>11</v>
      </c>
      <c r="P319" s="11" t="n">
        <v>11</v>
      </c>
      <c r="Q319" s="11" t="n">
        <v>0</v>
      </c>
      <c r="R319" s="11" t="n"/>
      <c r="S319" s="24" t="n">
        <v>46197</v>
      </c>
      <c r="T319" s="24" t="n">
        <v>46233</v>
      </c>
      <c r="U319" s="11" t="n">
        <v>0</v>
      </c>
      <c r="V319" s="12" t="n">
        <v>0</v>
      </c>
      <c r="W319" s="11" t="inlineStr">
        <is>
          <t>16AflPVAZLsIpMXS4</t>
        </is>
      </c>
      <c r="X319" s="12" t="n">
        <v>1250.07</v>
      </c>
      <c r="Y319" s="11" t="inlineStr">
        <is>
          <t>active</t>
        </is>
      </c>
      <c r="Z319" s="11" t="inlineStr">
        <is>
          <t>gbp</t>
        </is>
      </c>
    </row>
    <row r="320">
      <c r="A320" s="8" t="inlineStr">
        <is>
          <t>bb8acea2-a044-4f1a-b2c8-2220a1ed9ed0</t>
        </is>
      </c>
      <c r="B320" s="8" t="inlineStr">
        <is>
          <t>RCs Waxing &amp; Threading Decatur</t>
        </is>
      </c>
      <c r="C320" s="23" t="n">
        <v>46197</v>
      </c>
      <c r="D320" s="8" t="inlineStr">
        <is>
          <t>2026-06</t>
        </is>
      </c>
      <c r="E320" s="8" t="b">
        <v>1</v>
      </c>
      <c r="F320" s="8" t="b">
        <v>1</v>
      </c>
      <c r="G320" s="8" t="b">
        <v>1</v>
      </c>
      <c r="H320" s="8" t="b">
        <v>1</v>
      </c>
      <c r="I320" s="8" t="b">
        <v>1</v>
      </c>
      <c r="J320" s="8" t="b">
        <v>0</v>
      </c>
      <c r="K320" s="8" t="b">
        <v>1</v>
      </c>
      <c r="L320" s="8" t="b">
        <v>1</v>
      </c>
      <c r="M320" s="8" t="b">
        <v>1</v>
      </c>
      <c r="N320" s="8" t="b">
        <v>1</v>
      </c>
      <c r="O320" s="8" t="n">
        <v>18</v>
      </c>
      <c r="P320" s="8" t="n">
        <v>18</v>
      </c>
      <c r="Q320" s="8" t="n">
        <v>0</v>
      </c>
      <c r="R320" s="8" t="n"/>
      <c r="S320" s="23" t="n">
        <v>46197</v>
      </c>
      <c r="T320" s="23" t="n">
        <v>46234</v>
      </c>
      <c r="U320" s="8" t="n">
        <v>0</v>
      </c>
      <c r="V320" s="9" t="n">
        <v>0</v>
      </c>
      <c r="W320" s="8" t="inlineStr">
        <is>
          <t>16AflPVAZLsIpMXS4</t>
        </is>
      </c>
      <c r="X320" s="9" t="n">
        <v>1250.07</v>
      </c>
      <c r="Y320" s="8" t="inlineStr">
        <is>
          <t>active</t>
        </is>
      </c>
      <c r="Z320" s="8" t="inlineStr">
        <is>
          <t>gbp</t>
        </is>
      </c>
    </row>
    <row r="321">
      <c r="A321" s="11" t="inlineStr">
        <is>
          <t>172b5e0c-e433-4955-8ea5-11472b6b6c41</t>
        </is>
      </c>
      <c r="B321" s="11" t="inlineStr">
        <is>
          <t>RCs Waxing &amp; Threading Stockbridge</t>
        </is>
      </c>
      <c r="C321" s="24" t="n">
        <v>46197</v>
      </c>
      <c r="D321" s="11" t="inlineStr">
        <is>
          <t>2026-06</t>
        </is>
      </c>
      <c r="E321" s="11" t="b">
        <v>1</v>
      </c>
      <c r="F321" s="11" t="b">
        <v>1</v>
      </c>
      <c r="G321" s="11" t="b">
        <v>1</v>
      </c>
      <c r="H321" s="11" t="b">
        <v>1</v>
      </c>
      <c r="I321" s="11" t="b">
        <v>1</v>
      </c>
      <c r="J321" s="11" t="b">
        <v>0</v>
      </c>
      <c r="K321" s="11" t="b">
        <v>1</v>
      </c>
      <c r="L321" s="11" t="b">
        <v>1</v>
      </c>
      <c r="M321" s="11" t="b">
        <v>1</v>
      </c>
      <c r="N321" s="11" t="b">
        <v>1</v>
      </c>
      <c r="O321" s="11" t="n">
        <v>25</v>
      </c>
      <c r="P321" s="11" t="n">
        <v>25</v>
      </c>
      <c r="Q321" s="11" t="n">
        <v>0</v>
      </c>
      <c r="R321" s="11" t="n"/>
      <c r="S321" s="24" t="n">
        <v>46197</v>
      </c>
      <c r="T321" s="24" t="n">
        <v>46237</v>
      </c>
      <c r="U321" s="11" t="n">
        <v>2</v>
      </c>
      <c r="V321" s="12" t="n">
        <v>85</v>
      </c>
      <c r="W321" s="11" t="inlineStr">
        <is>
          <t>16AflPVAZLsIpMXS4</t>
        </is>
      </c>
      <c r="X321" s="12" t="n">
        <v>1250.07</v>
      </c>
      <c r="Y321" s="11" t="inlineStr">
        <is>
          <t>active</t>
        </is>
      </c>
      <c r="Z321" s="11" t="inlineStr">
        <is>
          <t>gbp</t>
        </is>
      </c>
    </row>
    <row r="322">
      <c r="A322" s="8" t="inlineStr">
        <is>
          <t>868ca0c5-9aab-4d8c-b6ac-2643bb9d3fd7</t>
        </is>
      </c>
      <c r="B322" s="8" t="inlineStr">
        <is>
          <t>RCs Waxing &amp; Threading Banks Crossing</t>
        </is>
      </c>
      <c r="C322" s="23" t="n">
        <v>46197</v>
      </c>
      <c r="D322" s="8" t="inlineStr">
        <is>
          <t>2026-06</t>
        </is>
      </c>
      <c r="E322" s="8" t="b">
        <v>1</v>
      </c>
      <c r="F322" s="8" t="b">
        <v>1</v>
      </c>
      <c r="G322" s="8" t="b">
        <v>1</v>
      </c>
      <c r="H322" s="8" t="b">
        <v>1</v>
      </c>
      <c r="I322" s="8" t="b">
        <v>1</v>
      </c>
      <c r="J322" s="8" t="b">
        <v>0</v>
      </c>
      <c r="K322" s="8" t="b">
        <v>1</v>
      </c>
      <c r="L322" s="8" t="b">
        <v>1</v>
      </c>
      <c r="M322" s="8" t="b">
        <v>1</v>
      </c>
      <c r="N322" s="8" t="b">
        <v>1</v>
      </c>
      <c r="O322" s="8" t="n">
        <v>63</v>
      </c>
      <c r="P322" s="8" t="n">
        <v>31</v>
      </c>
      <c r="Q322" s="8" t="n">
        <v>0</v>
      </c>
      <c r="R322" s="8" t="n"/>
      <c r="S322" s="23" t="n">
        <v>46204</v>
      </c>
      <c r="T322" s="23" t="n">
        <v>46236</v>
      </c>
      <c r="U322" s="8" t="n">
        <v>0</v>
      </c>
      <c r="V322" s="9" t="n">
        <v>0</v>
      </c>
      <c r="W322" s="8" t="inlineStr">
        <is>
          <t>16AflPVAZLsIpMXS4</t>
        </is>
      </c>
      <c r="X322" s="9" t="n">
        <v>1250.07</v>
      </c>
      <c r="Y322" s="8" t="inlineStr">
        <is>
          <t>active</t>
        </is>
      </c>
      <c r="Z322" s="8" t="inlineStr">
        <is>
          <t>gbp</t>
        </is>
      </c>
    </row>
    <row r="323">
      <c r="A323" s="11" t="inlineStr">
        <is>
          <t>a31b16da-f365-4c30-af8f-4ca8bbaa9643</t>
        </is>
      </c>
      <c r="B323" s="11" t="inlineStr">
        <is>
          <t>RCs Waxing &amp; Threading Jonesboro</t>
        </is>
      </c>
      <c r="C323" s="24" t="n">
        <v>46197</v>
      </c>
      <c r="D323" s="11" t="inlineStr">
        <is>
          <t>2026-06</t>
        </is>
      </c>
      <c r="E323" s="11" t="b">
        <v>1</v>
      </c>
      <c r="F323" s="11" t="b">
        <v>1</v>
      </c>
      <c r="G323" s="11" t="b">
        <v>1</v>
      </c>
      <c r="H323" s="11" t="b">
        <v>1</v>
      </c>
      <c r="I323" s="11" t="b">
        <v>1</v>
      </c>
      <c r="J323" s="11" t="b">
        <v>0</v>
      </c>
      <c r="K323" s="11" t="b">
        <v>1</v>
      </c>
      <c r="L323" s="11" t="b">
        <v>1</v>
      </c>
      <c r="M323" s="11" t="b">
        <v>1</v>
      </c>
      <c r="N323" s="11" t="b">
        <v>1</v>
      </c>
      <c r="O323" s="11" t="n">
        <v>51</v>
      </c>
      <c r="P323" s="11" t="n">
        <v>36</v>
      </c>
      <c r="Q323" s="11" t="n">
        <v>0</v>
      </c>
      <c r="R323" s="11" t="n"/>
      <c r="S323" s="24" t="n">
        <v>46197</v>
      </c>
      <c r="T323" s="24" t="n">
        <v>46237</v>
      </c>
      <c r="U323" s="11" t="n">
        <v>0</v>
      </c>
      <c r="V323" s="12" t="n">
        <v>0</v>
      </c>
      <c r="W323" s="11" t="inlineStr">
        <is>
          <t>16AflPVAZLsIpMXS4</t>
        </is>
      </c>
      <c r="X323" s="12" t="n">
        <v>1250.07</v>
      </c>
      <c r="Y323" s="11" t="inlineStr">
        <is>
          <t>active</t>
        </is>
      </c>
      <c r="Z323" s="11" t="inlineStr">
        <is>
          <t>gbp</t>
        </is>
      </c>
    </row>
    <row r="324">
      <c r="A324" s="8" t="inlineStr">
        <is>
          <t>34a52526-9b85-4245-a560-a6395028bbf1</t>
        </is>
      </c>
      <c r="B324" s="8" t="inlineStr">
        <is>
          <t>RCs Waxing &amp; Threading 120B Pavilion Pkwy</t>
        </is>
      </c>
      <c r="C324" s="23" t="n">
        <v>46197</v>
      </c>
      <c r="D324" s="8" t="inlineStr">
        <is>
          <t>2026-06</t>
        </is>
      </c>
      <c r="E324" s="8" t="b">
        <v>1</v>
      </c>
      <c r="F324" s="8" t="b">
        <v>1</v>
      </c>
      <c r="G324" s="8" t="b">
        <v>1</v>
      </c>
      <c r="H324" s="8" t="b">
        <v>1</v>
      </c>
      <c r="I324" s="8" t="b">
        <v>1</v>
      </c>
      <c r="J324" s="8" t="b">
        <v>0</v>
      </c>
      <c r="K324" s="8" t="b">
        <v>1</v>
      </c>
      <c r="L324" s="8" t="b">
        <v>1</v>
      </c>
      <c r="M324" s="8" t="b">
        <v>1</v>
      </c>
      <c r="N324" s="8" t="b">
        <v>1</v>
      </c>
      <c r="O324" s="8" t="n">
        <v>18</v>
      </c>
      <c r="P324" s="8" t="n">
        <v>8</v>
      </c>
      <c r="Q324" s="8" t="n">
        <v>0</v>
      </c>
      <c r="R324" s="8" t="n"/>
      <c r="S324" s="23" t="n">
        <v>46205</v>
      </c>
      <c r="T324" s="23" t="n">
        <v>46234</v>
      </c>
      <c r="U324" s="8" t="n">
        <v>0</v>
      </c>
      <c r="V324" s="9" t="n">
        <v>0</v>
      </c>
      <c r="W324" s="8" t="inlineStr">
        <is>
          <t>16AflPVAZLsIpMXS4</t>
        </is>
      </c>
      <c r="X324" s="9" t="n">
        <v>1250.07</v>
      </c>
      <c r="Y324" s="8" t="inlineStr">
        <is>
          <t>active</t>
        </is>
      </c>
      <c r="Z324" s="8" t="inlineStr">
        <is>
          <t>gbp</t>
        </is>
      </c>
    </row>
    <row r="325">
      <c r="A325" s="11" t="inlineStr">
        <is>
          <t>7717ea66-49c3-46a8-8c83-d0fdf55c8b7a</t>
        </is>
      </c>
      <c r="B325" s="11" t="inlineStr">
        <is>
          <t>RC's Waxing &amp; Threading Campcreek</t>
        </is>
      </c>
      <c r="C325" s="24" t="n">
        <v>46197</v>
      </c>
      <c r="D325" s="11" t="inlineStr">
        <is>
          <t>2026-06</t>
        </is>
      </c>
      <c r="E325" s="11" t="b">
        <v>1</v>
      </c>
      <c r="F325" s="11" t="b">
        <v>1</v>
      </c>
      <c r="G325" s="11" t="b">
        <v>1</v>
      </c>
      <c r="H325" s="11" t="b">
        <v>1</v>
      </c>
      <c r="I325" s="11" t="b">
        <v>1</v>
      </c>
      <c r="J325" s="11" t="b">
        <v>0</v>
      </c>
      <c r="K325" s="11" t="b">
        <v>1</v>
      </c>
      <c r="L325" s="11" t="b">
        <v>1</v>
      </c>
      <c r="M325" s="11" t="b">
        <v>1</v>
      </c>
      <c r="N325" s="11" t="b">
        <v>1</v>
      </c>
      <c r="O325" s="11" t="n">
        <v>38</v>
      </c>
      <c r="P325" s="11" t="n">
        <v>30</v>
      </c>
      <c r="Q325" s="11" t="n">
        <v>0</v>
      </c>
      <c r="R325" s="11" t="n"/>
      <c r="S325" s="24" t="n">
        <v>46204</v>
      </c>
      <c r="T325" s="24" t="n">
        <v>46236</v>
      </c>
      <c r="U325" s="11" t="n">
        <v>0</v>
      </c>
      <c r="V325" s="12" t="n">
        <v>0</v>
      </c>
      <c r="W325" s="11" t="inlineStr">
        <is>
          <t>16AflPVAZLsIpMXS4</t>
        </is>
      </c>
      <c r="X325" s="12" t="n">
        <v>1250.07</v>
      </c>
      <c r="Y325" s="11" t="inlineStr">
        <is>
          <t>active</t>
        </is>
      </c>
      <c r="Z325" s="11" t="inlineStr">
        <is>
          <t>gbp</t>
        </is>
      </c>
    </row>
    <row r="326">
      <c r="A326" s="8" t="inlineStr">
        <is>
          <t>7f64df98-652f-4c35-867a-7b48f3185180</t>
        </is>
      </c>
      <c r="B326" s="8" t="inlineStr">
        <is>
          <t>RC's Waxing &amp; Threading 139 Fayetteville pavilion</t>
        </is>
      </c>
      <c r="C326" s="23" t="n">
        <v>46197</v>
      </c>
      <c r="D326" s="8" t="inlineStr">
        <is>
          <t>2026-06</t>
        </is>
      </c>
      <c r="E326" s="8" t="b">
        <v>1</v>
      </c>
      <c r="F326" s="8" t="b">
        <v>1</v>
      </c>
      <c r="G326" s="8" t="b">
        <v>1</v>
      </c>
      <c r="H326" s="8" t="b">
        <v>1</v>
      </c>
      <c r="I326" s="8" t="b">
        <v>1</v>
      </c>
      <c r="J326" s="8" t="b">
        <v>0</v>
      </c>
      <c r="K326" s="8" t="b">
        <v>1</v>
      </c>
      <c r="L326" s="8" t="b">
        <v>1</v>
      </c>
      <c r="M326" s="8" t="b">
        <v>1</v>
      </c>
      <c r="N326" s="8" t="b">
        <v>1</v>
      </c>
      <c r="O326" s="8" t="n">
        <v>56</v>
      </c>
      <c r="P326" s="8" t="n">
        <v>51</v>
      </c>
      <c r="Q326" s="8" t="n">
        <v>0</v>
      </c>
      <c r="R326" s="8" t="n"/>
      <c r="S326" s="23" t="n">
        <v>46201</v>
      </c>
      <c r="T326" s="23" t="n">
        <v>46235</v>
      </c>
      <c r="U326" s="8" t="n">
        <v>0</v>
      </c>
      <c r="V326" s="9" t="n">
        <v>0</v>
      </c>
      <c r="W326" s="8" t="inlineStr">
        <is>
          <t>16AflPVAZLsIpMXS4</t>
        </is>
      </c>
      <c r="X326" s="9" t="n">
        <v>1250.07</v>
      </c>
      <c r="Y326" s="8" t="inlineStr">
        <is>
          <t>active</t>
        </is>
      </c>
      <c r="Z326" s="8" t="inlineStr">
        <is>
          <t>gbp</t>
        </is>
      </c>
    </row>
    <row r="327">
      <c r="A327" s="11" t="inlineStr">
        <is>
          <t>e9825c21-71b8-4935-b53e-d69e984a6e26</t>
        </is>
      </c>
      <c r="B327" s="11" t="inlineStr">
        <is>
          <t>Glamour Salon &amp; Spa</t>
        </is>
      </c>
      <c r="C327" s="24" t="n">
        <v>46198</v>
      </c>
      <c r="D327" s="11" t="inlineStr">
        <is>
          <t>2026-06</t>
        </is>
      </c>
      <c r="E327" s="11" t="b">
        <v>1</v>
      </c>
      <c r="F327" s="11" t="b">
        <v>1</v>
      </c>
      <c r="G327" s="11" t="b">
        <v>1</v>
      </c>
      <c r="H327" s="11" t="b">
        <v>1</v>
      </c>
      <c r="I327" s="11" t="b">
        <v>1</v>
      </c>
      <c r="J327" s="11" t="b">
        <v>0</v>
      </c>
      <c r="K327" s="11" t="b">
        <v>0</v>
      </c>
      <c r="L327" s="11" t="b">
        <v>0</v>
      </c>
      <c r="M327" s="11" t="b">
        <v>0</v>
      </c>
      <c r="N327" s="11" t="b">
        <v>0</v>
      </c>
      <c r="O327" s="11" t="n">
        <v>0</v>
      </c>
      <c r="P327" s="11" t="n">
        <v>0</v>
      </c>
      <c r="Q327" s="11" t="n">
        <v>0</v>
      </c>
      <c r="R327" s="11" t="n"/>
      <c r="S327" s="24" t="n"/>
      <c r="T327" s="24" t="n"/>
      <c r="U327" s="11" t="n">
        <v>0</v>
      </c>
      <c r="V327" s="12" t="n">
        <v>0</v>
      </c>
      <c r="W327" s="11" t="inlineStr">
        <is>
          <t>AzyUxeVL1pboN1mfb</t>
        </is>
      </c>
      <c r="X327" s="12" t="n"/>
      <c r="Y327" s="11" t="n"/>
      <c r="Z327" s="11" t="inlineStr">
        <is>
          <t>gbp</t>
        </is>
      </c>
    </row>
    <row r="328">
      <c r="A328" s="8" t="inlineStr">
        <is>
          <t>dccc494a-75f8-4640-81d2-cb6e0a60905e</t>
        </is>
      </c>
      <c r="B328" s="8" t="inlineStr">
        <is>
          <t>Natasha Braids</t>
        </is>
      </c>
      <c r="C328" s="23" t="n">
        <v>46198</v>
      </c>
      <c r="D328" s="8" t="inlineStr">
        <is>
          <t>2026-06</t>
        </is>
      </c>
      <c r="E328" s="8" t="b">
        <v>1</v>
      </c>
      <c r="F328" s="8" t="b">
        <v>1</v>
      </c>
      <c r="G328" s="8" t="b">
        <v>1</v>
      </c>
      <c r="H328" s="8" t="b">
        <v>1</v>
      </c>
      <c r="I328" s="8" t="b">
        <v>1</v>
      </c>
      <c r="J328" s="8" t="b">
        <v>0</v>
      </c>
      <c r="K328" s="8" t="b">
        <v>1</v>
      </c>
      <c r="L328" s="8" t="b">
        <v>1</v>
      </c>
      <c r="M328" s="8" t="b">
        <v>1</v>
      </c>
      <c r="N328" s="8" t="b">
        <v>1</v>
      </c>
      <c r="O328" s="8" t="n">
        <v>6</v>
      </c>
      <c r="P328" s="8" t="n">
        <v>1</v>
      </c>
      <c r="Q328" s="8" t="n">
        <v>0</v>
      </c>
      <c r="R328" s="8" t="n"/>
      <c r="S328" s="23" t="n">
        <v>46198</v>
      </c>
      <c r="T328" s="23" t="n">
        <v>46203</v>
      </c>
      <c r="U328" s="8" t="n">
        <v>2</v>
      </c>
      <c r="V328" s="9" t="n">
        <v>217.8</v>
      </c>
      <c r="W328" s="8" t="inlineStr">
        <is>
          <t>16BSwDVNYtaQ81EcV</t>
        </is>
      </c>
      <c r="X328" s="9" t="n"/>
      <c r="Y328" s="8" t="inlineStr">
        <is>
          <t>cancelled</t>
        </is>
      </c>
      <c r="Z328" s="8" t="inlineStr">
        <is>
          <t>gbp_logs</t>
        </is>
      </c>
    </row>
    <row r="329">
      <c r="A329" s="11" t="inlineStr">
        <is>
          <t>9a9eaa12-86dc-445c-9195-a4208aa64c37</t>
        </is>
      </c>
      <c r="B329" s="11" t="inlineStr">
        <is>
          <t>Doro hair braiding</t>
        </is>
      </c>
      <c r="C329" s="24" t="n">
        <v>46198</v>
      </c>
      <c r="D329" s="11" t="inlineStr">
        <is>
          <t>2026-06</t>
        </is>
      </c>
      <c r="E329" s="11" t="b">
        <v>1</v>
      </c>
      <c r="F329" s="11" t="b">
        <v>1</v>
      </c>
      <c r="G329" s="11" t="b">
        <v>1</v>
      </c>
      <c r="H329" s="11" t="b">
        <v>1</v>
      </c>
      <c r="I329" s="11" t="b">
        <v>1</v>
      </c>
      <c r="J329" s="11" t="b">
        <v>0</v>
      </c>
      <c r="K329" s="11" t="b">
        <v>1</v>
      </c>
      <c r="L329" s="11" t="b">
        <v>1</v>
      </c>
      <c r="M329" s="11" t="b">
        <v>1</v>
      </c>
      <c r="N329" s="11" t="b">
        <v>1</v>
      </c>
      <c r="O329" s="11" t="n">
        <v>5</v>
      </c>
      <c r="P329" s="11" t="n">
        <v>5</v>
      </c>
      <c r="Q329" s="11" t="n">
        <v>0</v>
      </c>
      <c r="R329" s="11" t="n"/>
      <c r="S329" s="24" t="n">
        <v>46198</v>
      </c>
      <c r="T329" s="24" t="n">
        <v>46234</v>
      </c>
      <c r="U329" s="11" t="n">
        <v>0</v>
      </c>
      <c r="V329" s="12" t="n">
        <v>0</v>
      </c>
      <c r="W329" s="11" t="inlineStr">
        <is>
          <t>AzyfuoVNaXup12Hb1</t>
        </is>
      </c>
      <c r="X329" s="12" t="n">
        <v>149</v>
      </c>
      <c r="Y329" s="11" t="inlineStr">
        <is>
          <t>active</t>
        </is>
      </c>
      <c r="Z329" s="11" t="inlineStr">
        <is>
          <t>gbp</t>
        </is>
      </c>
    </row>
    <row r="330">
      <c r="A330" s="8" t="inlineStr">
        <is>
          <t>6379236b-ff8d-4eea-8b20-8f83ced49223</t>
        </is>
      </c>
      <c r="B330" s="8" t="inlineStr">
        <is>
          <t>Egrace Braiding</t>
        </is>
      </c>
      <c r="C330" s="23" t="n">
        <v>46199</v>
      </c>
      <c r="D330" s="8" t="inlineStr">
        <is>
          <t>2026-06</t>
        </is>
      </c>
      <c r="E330" s="8" t="b">
        <v>1</v>
      </c>
      <c r="F330" s="8" t="b">
        <v>0</v>
      </c>
      <c r="G330" s="8" t="b">
        <v>0</v>
      </c>
      <c r="H330" s="8" t="b">
        <v>0</v>
      </c>
      <c r="I330" s="8" t="b">
        <v>0</v>
      </c>
      <c r="J330" s="8" t="b">
        <v>0</v>
      </c>
      <c r="K330" s="8" t="b">
        <v>0</v>
      </c>
      <c r="L330" s="8" t="b">
        <v>0</v>
      </c>
      <c r="M330" s="8" t="b">
        <v>0</v>
      </c>
      <c r="N330" s="8" t="b">
        <v>0</v>
      </c>
      <c r="O330" s="8" t="n">
        <v>0</v>
      </c>
      <c r="P330" s="8" t="n">
        <v>0</v>
      </c>
      <c r="Q330" s="8" t="n">
        <v>0</v>
      </c>
      <c r="R330" s="8" t="n"/>
      <c r="S330" s="23" t="n"/>
      <c r="T330" s="23" t="n"/>
      <c r="U330" s="8" t="n">
        <v>0</v>
      </c>
      <c r="V330" s="9" t="n">
        <v>0</v>
      </c>
      <c r="W330" s="8" t="inlineStr">
        <is>
          <t>AziAynVKBoZKTZ9M</t>
        </is>
      </c>
      <c r="X330" s="9" t="n"/>
      <c r="Y330" s="8" t="n"/>
      <c r="Z330" s="8" t="inlineStr">
        <is>
          <t>gbp</t>
        </is>
      </c>
    </row>
    <row r="331">
      <c r="A331" s="11" t="inlineStr">
        <is>
          <t>1d694dca-612f-449e-8bf7-8b0ba1355513</t>
        </is>
      </c>
      <c r="B331" s="11" t="inlineStr">
        <is>
          <t>Egrace Braiding</t>
        </is>
      </c>
      <c r="C331" s="24" t="n">
        <v>46199</v>
      </c>
      <c r="D331" s="11" t="inlineStr">
        <is>
          <t>2026-06</t>
        </is>
      </c>
      <c r="E331" s="11" t="b">
        <v>1</v>
      </c>
      <c r="F331" s="11" t="b">
        <v>1</v>
      </c>
      <c r="G331" s="11" t="b">
        <v>0</v>
      </c>
      <c r="H331" s="11" t="b">
        <v>0</v>
      </c>
      <c r="I331" s="11" t="b">
        <v>0</v>
      </c>
      <c r="J331" s="11" t="b">
        <v>0</v>
      </c>
      <c r="K331" s="11" t="b">
        <v>0</v>
      </c>
      <c r="L331" s="11" t="b">
        <v>0</v>
      </c>
      <c r="M331" s="11" t="b">
        <v>0</v>
      </c>
      <c r="N331" s="11" t="b">
        <v>0</v>
      </c>
      <c r="O331" s="11" t="n">
        <v>0</v>
      </c>
      <c r="P331" s="11" t="n">
        <v>0</v>
      </c>
      <c r="Q331" s="11" t="n">
        <v>0</v>
      </c>
      <c r="R331" s="11" t="n"/>
      <c r="S331" s="24" t="n"/>
      <c r="T331" s="24" t="n"/>
      <c r="U331" s="11" t="n">
        <v>0</v>
      </c>
      <c r="V331" s="12" t="n">
        <v>0</v>
      </c>
      <c r="W331" s="11" t="n"/>
      <c r="X331" s="12" t="n"/>
      <c r="Y331" s="11" t="n"/>
      <c r="Z331" s="11" t="inlineStr">
        <is>
          <t>gbp</t>
        </is>
      </c>
    </row>
    <row r="332">
      <c r="A332" s="8" t="inlineStr">
        <is>
          <t>984919b4-58db-480c-a973-dcc5d393bdf9</t>
        </is>
      </c>
      <c r="B332" s="8" t="inlineStr">
        <is>
          <t>Hair care by Dawn LLC</t>
        </is>
      </c>
      <c r="C332" s="23" t="n">
        <v>46202</v>
      </c>
      <c r="D332" s="8" t="inlineStr">
        <is>
          <t>2026-06</t>
        </is>
      </c>
      <c r="E332" s="8" t="b">
        <v>1</v>
      </c>
      <c r="F332" s="8" t="b">
        <v>1</v>
      </c>
      <c r="G332" s="8" t="b">
        <v>1</v>
      </c>
      <c r="H332" s="8" t="b">
        <v>1</v>
      </c>
      <c r="I332" s="8" t="b">
        <v>1</v>
      </c>
      <c r="J332" s="8" t="b">
        <v>0</v>
      </c>
      <c r="K332" s="8" t="b">
        <v>1</v>
      </c>
      <c r="L332" s="8" t="b">
        <v>1</v>
      </c>
      <c r="M332" s="8" t="b">
        <v>1</v>
      </c>
      <c r="N332" s="8" t="b">
        <v>1</v>
      </c>
      <c r="O332" s="8" t="n">
        <v>3</v>
      </c>
      <c r="P332" s="8" t="n">
        <v>3</v>
      </c>
      <c r="Q332" s="8" t="n">
        <v>0</v>
      </c>
      <c r="R332" s="8" t="n"/>
      <c r="S332" s="23" t="n">
        <v>46205</v>
      </c>
      <c r="T332" s="23" t="n">
        <v>46205</v>
      </c>
      <c r="U332" s="8" t="n">
        <v>1</v>
      </c>
      <c r="V332" s="9" t="n">
        <v>205</v>
      </c>
      <c r="W332" s="8" t="inlineStr">
        <is>
          <t>169uHaVNxvQ0y2apm</t>
        </is>
      </c>
      <c r="X332" s="9" t="n"/>
      <c r="Y332" s="8" t="n"/>
      <c r="Z332" s="8" t="inlineStr">
        <is>
          <t>gbp</t>
        </is>
      </c>
    </row>
    <row r="333">
      <c r="A333" s="11" t="inlineStr">
        <is>
          <t>e21c7864-3882-4c22-883f-9ee873b27077</t>
        </is>
      </c>
      <c r="B333" s="11" t="inlineStr">
        <is>
          <t>Natasha Photography</t>
        </is>
      </c>
      <c r="C333" s="24" t="n">
        <v>46203</v>
      </c>
      <c r="D333" s="11" t="inlineStr">
        <is>
          <t>2026-06</t>
        </is>
      </c>
      <c r="E333" s="11" t="b">
        <v>1</v>
      </c>
      <c r="F333" s="11" t="b">
        <v>1</v>
      </c>
      <c r="G333" s="11" t="b">
        <v>1</v>
      </c>
      <c r="H333" s="11" t="b">
        <v>1</v>
      </c>
      <c r="I333" s="11" t="b">
        <v>1</v>
      </c>
      <c r="J333" s="11" t="b">
        <v>0</v>
      </c>
      <c r="K333" s="11" t="b">
        <v>1</v>
      </c>
      <c r="L333" s="11" t="b">
        <v>1</v>
      </c>
      <c r="M333" s="11" t="b">
        <v>1</v>
      </c>
      <c r="N333" s="11" t="b">
        <v>1</v>
      </c>
      <c r="O333" s="11" t="n">
        <v>3</v>
      </c>
      <c r="P333" s="11" t="n">
        <v>2</v>
      </c>
      <c r="Q333" s="11" t="n">
        <v>0</v>
      </c>
      <c r="R333" s="11" t="n"/>
      <c r="S333" s="24" t="n">
        <v>46203</v>
      </c>
      <c r="T333" s="24" t="n">
        <v>46203</v>
      </c>
      <c r="U333" s="11" t="n">
        <v>1</v>
      </c>
      <c r="V333" s="12" t="n">
        <v>325</v>
      </c>
      <c r="W333" s="11" t="inlineStr">
        <is>
          <t>16BajxVO24IBP4yyd</t>
        </is>
      </c>
      <c r="X333" s="12" t="n"/>
      <c r="Y333" s="11" t="inlineStr">
        <is>
          <t>cancelled</t>
        </is>
      </c>
      <c r="Z333" s="11" t="inlineStr">
        <is>
          <t>gbp_logs</t>
        </is>
      </c>
    </row>
    <row r="334">
      <c r="A334" s="8" t="inlineStr">
        <is>
          <t>d1191256-b78e-4794-8b93-37327adcaa3d</t>
        </is>
      </c>
      <c r="B334" s="8" t="inlineStr">
        <is>
          <t>Love Me Naked Esthetic’s</t>
        </is>
      </c>
      <c r="C334" s="23" t="n">
        <v>46203</v>
      </c>
      <c r="D334" s="8" t="inlineStr">
        <is>
          <t>2026-06</t>
        </is>
      </c>
      <c r="E334" s="8" t="b">
        <v>1</v>
      </c>
      <c r="F334" s="8" t="b">
        <v>1</v>
      </c>
      <c r="G334" s="8" t="b">
        <v>1</v>
      </c>
      <c r="H334" s="8" t="b">
        <v>1</v>
      </c>
      <c r="I334" s="8" t="b">
        <v>1</v>
      </c>
      <c r="J334" s="8" t="b">
        <v>0</v>
      </c>
      <c r="K334" s="8" t="b">
        <v>1</v>
      </c>
      <c r="L334" s="8" t="b">
        <v>1</v>
      </c>
      <c r="M334" s="8" t="b">
        <v>1</v>
      </c>
      <c r="N334" s="8" t="b">
        <v>1</v>
      </c>
      <c r="O334" s="8" t="n">
        <v>0</v>
      </c>
      <c r="P334" s="8" t="n">
        <v>0</v>
      </c>
      <c r="Q334" s="8" t="n">
        <v>0</v>
      </c>
      <c r="R334" s="8" t="n"/>
      <c r="S334" s="23" t="n"/>
      <c r="T334" s="23" t="n"/>
      <c r="U334" s="8" t="n">
        <v>0</v>
      </c>
      <c r="V334" s="9" t="n">
        <v>0</v>
      </c>
      <c r="W334" s="8" t="inlineStr">
        <is>
          <t>Azyx7uVO3mYUA5kVj</t>
        </is>
      </c>
      <c r="X334" s="9" t="n"/>
      <c r="Y334" s="8" t="n"/>
      <c r="Z334" s="8" t="inlineStr">
        <is>
          <t>gbp</t>
        </is>
      </c>
    </row>
    <row r="335">
      <c r="A335" s="11" t="inlineStr">
        <is>
          <t>e182445e-fe43-45bb-bd0e-2d7565b2f7b5</t>
        </is>
      </c>
      <c r="B335" s="11" t="inlineStr">
        <is>
          <t>Headquarters Hair Care</t>
        </is>
      </c>
      <c r="C335" s="24" t="n">
        <v>46204</v>
      </c>
      <c r="D335" s="11" t="inlineStr">
        <is>
          <t>2026-07</t>
        </is>
      </c>
      <c r="E335" s="11" t="b">
        <v>1</v>
      </c>
      <c r="F335" s="11" t="b">
        <v>0</v>
      </c>
      <c r="G335" s="11" t="b">
        <v>0</v>
      </c>
      <c r="H335" s="11" t="b">
        <v>0</v>
      </c>
      <c r="I335" s="11" t="b">
        <v>0</v>
      </c>
      <c r="J335" s="11" t="b">
        <v>0</v>
      </c>
      <c r="K335" s="11" t="b">
        <v>0</v>
      </c>
      <c r="L335" s="11" t="b">
        <v>0</v>
      </c>
      <c r="M335" s="11" t="b">
        <v>0</v>
      </c>
      <c r="N335" s="11" t="b">
        <v>0</v>
      </c>
      <c r="O335" s="11" t="n">
        <v>2946</v>
      </c>
      <c r="P335" s="11" t="n">
        <v>0</v>
      </c>
      <c r="Q335" s="11" t="n">
        <v>0</v>
      </c>
      <c r="R335" s="11" t="n"/>
      <c r="S335" s="24" t="n">
        <v>43833</v>
      </c>
      <c r="T335" s="24" t="n">
        <v>46653</v>
      </c>
      <c r="U335" s="11" t="n">
        <v>0</v>
      </c>
      <c r="V335" s="12" t="n">
        <v>0</v>
      </c>
      <c r="W335" s="11" t="inlineStr">
        <is>
          <t>169kJGV5se1sPXQth</t>
        </is>
      </c>
      <c r="X335" s="12" t="n">
        <v>249</v>
      </c>
      <c r="Y335" s="11" t="inlineStr">
        <is>
          <t>non_renewing</t>
        </is>
      </c>
      <c r="Z335" s="11" t="inlineStr">
        <is>
          <t>gbp</t>
        </is>
      </c>
    </row>
    <row r="336">
      <c r="A336" s="8" t="inlineStr">
        <is>
          <t>0fef25e6-922d-4aab-9237-7f8c48816159</t>
        </is>
      </c>
      <c r="B336" s="8" t="inlineStr">
        <is>
          <t>Saxena spa salon gsisg</t>
        </is>
      </c>
      <c r="C336" s="23" t="n">
        <v>46204</v>
      </c>
      <c r="D336" s="8" t="inlineStr">
        <is>
          <t>2026-07</t>
        </is>
      </c>
      <c r="E336" s="8" t="b">
        <v>1</v>
      </c>
      <c r="F336" s="8" t="b">
        <v>1</v>
      </c>
      <c r="G336" s="8" t="b">
        <v>1</v>
      </c>
      <c r="H336" s="8" t="b">
        <v>1</v>
      </c>
      <c r="I336" s="8" t="b">
        <v>1</v>
      </c>
      <c r="J336" s="8" t="b">
        <v>0</v>
      </c>
      <c r="K336" s="8" t="b">
        <v>1</v>
      </c>
      <c r="L336" s="8" t="b">
        <v>1</v>
      </c>
      <c r="M336" s="8" t="b">
        <v>1</v>
      </c>
      <c r="N336" s="8" t="b">
        <v>1</v>
      </c>
      <c r="O336" s="8" t="n">
        <v>0</v>
      </c>
      <c r="P336" s="8" t="n">
        <v>0</v>
      </c>
      <c r="Q336" s="8" t="n">
        <v>0</v>
      </c>
      <c r="R336" s="8" t="n"/>
      <c r="S336" s="23" t="n"/>
      <c r="T336" s="23" t="n"/>
      <c r="U336" s="8" t="n">
        <v>0</v>
      </c>
      <c r="V336" s="9" t="n">
        <v>0</v>
      </c>
      <c r="W336" s="8" t="inlineStr">
        <is>
          <t>6oZYeVO7fTwm8wMZ</t>
        </is>
      </c>
      <c r="X336" s="9" t="n"/>
      <c r="Y336" s="8" t="inlineStr">
        <is>
          <t>cancelled</t>
        </is>
      </c>
      <c r="Z336" s="8" t="inlineStr">
        <is>
          <t>gbp_logs</t>
        </is>
      </c>
    </row>
    <row r="337">
      <c r="A337" s="11" t="inlineStr">
        <is>
          <t>fce7a080-3457-4427-aeb5-806caf7f8cf8</t>
        </is>
      </c>
      <c r="B337" s="11" t="inlineStr">
        <is>
          <t>Houston Mobile Massage - Swedish massage, Deep Tissue Massage, Gua Shua in Houston, TX</t>
        </is>
      </c>
      <c r="C337" s="24" t="n">
        <v>46204</v>
      </c>
      <c r="D337" s="11" t="inlineStr">
        <is>
          <t>2026-07</t>
        </is>
      </c>
      <c r="E337" s="11" t="b">
        <v>1</v>
      </c>
      <c r="F337" s="11" t="b">
        <v>1</v>
      </c>
      <c r="G337" s="11" t="b">
        <v>1</v>
      </c>
      <c r="H337" s="11" t="b">
        <v>1</v>
      </c>
      <c r="I337" s="11" t="b">
        <v>1</v>
      </c>
      <c r="J337" s="11" t="b">
        <v>1</v>
      </c>
      <c r="K337" s="11" t="b">
        <v>0</v>
      </c>
      <c r="L337" s="11" t="b">
        <v>1</v>
      </c>
      <c r="M337" s="11" t="b">
        <v>1</v>
      </c>
      <c r="N337" s="11" t="b">
        <v>1</v>
      </c>
      <c r="O337" s="11" t="n">
        <v>4</v>
      </c>
      <c r="P337" s="11" t="n">
        <v>1</v>
      </c>
      <c r="Q337" s="11" t="n">
        <v>0</v>
      </c>
      <c r="R337" s="11" t="n"/>
      <c r="S337" s="24" t="n">
        <v>46206</v>
      </c>
      <c r="T337" s="24" t="n">
        <v>46227</v>
      </c>
      <c r="U337" s="11" t="n">
        <v>0</v>
      </c>
      <c r="V337" s="12" t="n">
        <v>0</v>
      </c>
      <c r="W337" s="11" t="inlineStr">
        <is>
          <t>Azqc6hUsTFeHr3Rrw</t>
        </is>
      </c>
      <c r="X337" s="12" t="n">
        <v>199</v>
      </c>
      <c r="Y337" s="11" t="inlineStr">
        <is>
          <t>active</t>
        </is>
      </c>
      <c r="Z337" s="11" t="inlineStr">
        <is>
          <t>gbp</t>
        </is>
      </c>
    </row>
    <row r="338">
      <c r="A338" s="8" t="inlineStr">
        <is>
          <t>9abe5fc8-2604-43f5-83bf-b6b89261eb58</t>
        </is>
      </c>
      <c r="B338" s="8" t="inlineStr">
        <is>
          <t>Salon Millennium</t>
        </is>
      </c>
      <c r="C338" s="23" t="n">
        <v>46204</v>
      </c>
      <c r="D338" s="8" t="inlineStr">
        <is>
          <t>2026-07</t>
        </is>
      </c>
      <c r="E338" s="8" t="b">
        <v>1</v>
      </c>
      <c r="F338" s="8" t="b">
        <v>1</v>
      </c>
      <c r="G338" s="8" t="b">
        <v>1</v>
      </c>
      <c r="H338" s="8" t="b">
        <v>1</v>
      </c>
      <c r="I338" s="8" t="b">
        <v>1</v>
      </c>
      <c r="J338" s="8" t="b">
        <v>0</v>
      </c>
      <c r="K338" s="8" t="b">
        <v>0</v>
      </c>
      <c r="L338" s="8" t="b">
        <v>0</v>
      </c>
      <c r="M338" s="8" t="b">
        <v>0</v>
      </c>
      <c r="N338" s="8" t="b">
        <v>0</v>
      </c>
      <c r="O338" s="8" t="n">
        <v>0</v>
      </c>
      <c r="P338" s="8" t="n">
        <v>0</v>
      </c>
      <c r="Q338" s="8" t="n">
        <v>0</v>
      </c>
      <c r="R338" s="8" t="n"/>
      <c r="S338" s="23" t="n"/>
      <c r="T338" s="23" t="n"/>
      <c r="U338" s="8" t="n">
        <v>0</v>
      </c>
      <c r="V338" s="9" t="n">
        <v>0</v>
      </c>
      <c r="W338" s="8" t="inlineStr">
        <is>
          <t>16AbeFVIJG3y79Qk</t>
        </is>
      </c>
      <c r="X338" s="9" t="n">
        <v>250</v>
      </c>
      <c r="Y338" s="8" t="inlineStr">
        <is>
          <t>active</t>
        </is>
      </c>
      <c r="Z338" s="8" t="inlineStr">
        <is>
          <t>gbp</t>
        </is>
      </c>
    </row>
    <row r="339">
      <c r="A339" s="11" t="inlineStr">
        <is>
          <t>e1342d56-c179-451e-a87a-6bc128b46d8d</t>
        </is>
      </c>
      <c r="B339" s="11" t="inlineStr">
        <is>
          <t>Cut &amp; Blow Hair Salon</t>
        </is>
      </c>
      <c r="C339" s="24" t="n">
        <v>46204</v>
      </c>
      <c r="D339" s="11" t="inlineStr">
        <is>
          <t>2026-07</t>
        </is>
      </c>
      <c r="E339" s="11" t="b">
        <v>1</v>
      </c>
      <c r="F339" s="11" t="b">
        <v>1</v>
      </c>
      <c r="G339" s="11" t="b">
        <v>1</v>
      </c>
      <c r="H339" s="11" t="b">
        <v>1</v>
      </c>
      <c r="I339" s="11" t="b">
        <v>1</v>
      </c>
      <c r="J339" s="11" t="b">
        <v>1</v>
      </c>
      <c r="K339" s="11" t="b">
        <v>1</v>
      </c>
      <c r="L339" s="11" t="b">
        <v>1</v>
      </c>
      <c r="M339" s="11" t="b">
        <v>1</v>
      </c>
      <c r="N339" s="11" t="b">
        <v>1</v>
      </c>
      <c r="O339" s="11" t="n">
        <v>4</v>
      </c>
      <c r="P339" s="11" t="n">
        <v>3</v>
      </c>
      <c r="Q339" s="11" t="n">
        <v>0</v>
      </c>
      <c r="R339" s="11" t="n"/>
      <c r="S339" s="24" t="n">
        <v>46217</v>
      </c>
      <c r="T339" s="24" t="n">
        <v>46228</v>
      </c>
      <c r="U339" s="11" t="n">
        <v>4</v>
      </c>
      <c r="V339" s="12" t="n">
        <v>309.47</v>
      </c>
      <c r="W339" s="11" t="inlineStr">
        <is>
          <t>AzyqBZVO8uOIU9nzO</t>
        </is>
      </c>
      <c r="X339" s="12" t="n">
        <v>149</v>
      </c>
      <c r="Y339" s="11" t="inlineStr">
        <is>
          <t>active</t>
        </is>
      </c>
      <c r="Z339" s="11" t="inlineStr">
        <is>
          <t>gbp</t>
        </is>
      </c>
    </row>
    <row r="340">
      <c r="A340" s="8" t="inlineStr">
        <is>
          <t>206e4a5d-a15b-4630-8450-72ef77a5c87c</t>
        </is>
      </c>
      <c r="B340" s="8" t="inlineStr">
        <is>
          <t>thrash &amp; sassy salon</t>
        </is>
      </c>
      <c r="C340" s="23" t="n">
        <v>46204</v>
      </c>
      <c r="D340" s="8" t="inlineStr">
        <is>
          <t>2026-07</t>
        </is>
      </c>
      <c r="E340" s="8" t="b">
        <v>1</v>
      </c>
      <c r="F340" s="8" t="b">
        <v>1</v>
      </c>
      <c r="G340" s="8" t="b">
        <v>1</v>
      </c>
      <c r="H340" s="8" t="b">
        <v>1</v>
      </c>
      <c r="I340" s="8" t="b">
        <v>1</v>
      </c>
      <c r="J340" s="8" t="b">
        <v>1</v>
      </c>
      <c r="K340" s="8" t="b">
        <v>0</v>
      </c>
      <c r="L340" s="8" t="b">
        <v>1</v>
      </c>
      <c r="M340" s="8" t="b">
        <v>1</v>
      </c>
      <c r="N340" s="8" t="b">
        <v>1</v>
      </c>
      <c r="O340" s="8" t="n">
        <v>97</v>
      </c>
      <c r="P340" s="8" t="n">
        <v>83</v>
      </c>
      <c r="Q340" s="8" t="n">
        <v>0</v>
      </c>
      <c r="R340" s="8" t="n"/>
      <c r="S340" s="23" t="n">
        <v>46204</v>
      </c>
      <c r="T340" s="23" t="n">
        <v>46237</v>
      </c>
      <c r="U340" s="8" t="n">
        <v>2</v>
      </c>
      <c r="V340" s="9" t="n">
        <v>110</v>
      </c>
      <c r="W340" s="8" t="inlineStr">
        <is>
          <t>AzZqwoUjmVyb54U3f</t>
        </is>
      </c>
      <c r="X340" s="9" t="n">
        <v>299</v>
      </c>
      <c r="Y340" s="8" t="inlineStr">
        <is>
          <t>active</t>
        </is>
      </c>
      <c r="Z340" s="8" t="inlineStr">
        <is>
          <t>gbp</t>
        </is>
      </c>
    </row>
    <row r="341">
      <c r="A341" s="11" t="inlineStr">
        <is>
          <t>59f2434b-2678-4ec7-b11e-97a78dc6654a</t>
        </is>
      </c>
      <c r="B341" s="11" t="inlineStr">
        <is>
          <t>Natasha Braids</t>
        </is>
      </c>
      <c r="C341" s="24" t="n">
        <v>46205</v>
      </c>
      <c r="D341" s="11" t="inlineStr">
        <is>
          <t>2026-07</t>
        </is>
      </c>
      <c r="E341" s="11" t="b">
        <v>1</v>
      </c>
      <c r="F341" s="11" t="b">
        <v>1</v>
      </c>
      <c r="G341" s="11" t="b">
        <v>1</v>
      </c>
      <c r="H341" s="11" t="b">
        <v>1</v>
      </c>
      <c r="I341" s="11" t="b">
        <v>1</v>
      </c>
      <c r="J341" s="11" t="b">
        <v>0</v>
      </c>
      <c r="K341" s="11" t="b">
        <v>1</v>
      </c>
      <c r="L341" s="11" t="b">
        <v>1</v>
      </c>
      <c r="M341" s="11" t="b">
        <v>1</v>
      </c>
      <c r="N341" s="11" t="b">
        <v>1</v>
      </c>
      <c r="O341" s="11" t="n">
        <v>0</v>
      </c>
      <c r="P341" s="11" t="n">
        <v>0</v>
      </c>
      <c r="Q341" s="11" t="n">
        <v>0</v>
      </c>
      <c r="R341" s="11" t="n"/>
      <c r="S341" s="24" t="n"/>
      <c r="T341" s="24" t="n"/>
      <c r="U341" s="11" t="n">
        <v>0</v>
      </c>
      <c r="V341" s="12" t="n">
        <v>0</v>
      </c>
      <c r="W341" s="11" t="inlineStr">
        <is>
          <t>6or1EVODZkna1GZk</t>
        </is>
      </c>
      <c r="X341" s="12" t="n"/>
      <c r="Y341" s="11" t="inlineStr">
        <is>
          <t>cancelled</t>
        </is>
      </c>
      <c r="Z341" s="11" t="inlineStr">
        <is>
          <t>gbp_logs</t>
        </is>
      </c>
    </row>
    <row r="342">
      <c r="A342" s="8" t="inlineStr">
        <is>
          <t>2334bc22-6524-47ac-827c-d15d4414d7f6</t>
        </is>
      </c>
      <c r="B342" s="8" t="inlineStr">
        <is>
          <t>Glenn Emery Skincare</t>
        </is>
      </c>
      <c r="C342" s="23" t="n">
        <v>46205</v>
      </c>
      <c r="D342" s="8" t="inlineStr">
        <is>
          <t>2026-07</t>
        </is>
      </c>
      <c r="E342" s="8" t="b">
        <v>1</v>
      </c>
      <c r="F342" s="8" t="b">
        <v>1</v>
      </c>
      <c r="G342" s="8" t="b">
        <v>1</v>
      </c>
      <c r="H342" s="8" t="b">
        <v>1</v>
      </c>
      <c r="I342" s="8" t="b">
        <v>1</v>
      </c>
      <c r="J342" s="8" t="b">
        <v>1</v>
      </c>
      <c r="K342" s="8" t="b">
        <v>0</v>
      </c>
      <c r="L342" s="8" t="b">
        <v>1</v>
      </c>
      <c r="M342" s="8" t="b">
        <v>1</v>
      </c>
      <c r="N342" s="8" t="b">
        <v>1</v>
      </c>
      <c r="O342" s="8" t="n">
        <v>3</v>
      </c>
      <c r="P342" s="8" t="n">
        <v>1</v>
      </c>
      <c r="Q342" s="8" t="n">
        <v>1030</v>
      </c>
      <c r="R342" s="8" t="inlineStr">
        <is>
          <t>ACUITY</t>
        </is>
      </c>
      <c r="S342" s="23" t="n">
        <v>46210</v>
      </c>
      <c r="T342" s="23" t="n">
        <v>46232</v>
      </c>
      <c r="U342" s="8" t="n">
        <v>1</v>
      </c>
      <c r="V342" s="9" t="n">
        <v>12.5</v>
      </c>
      <c r="W342" s="8" t="inlineStr">
        <is>
          <t>AzyqGlUrDqpEe2dvB</t>
        </is>
      </c>
      <c r="X342" s="9" t="n">
        <v>149</v>
      </c>
      <c r="Y342" s="8" t="inlineStr">
        <is>
          <t>active</t>
        </is>
      </c>
      <c r="Z342" s="8" t="inlineStr">
        <is>
          <t>gbp</t>
        </is>
      </c>
    </row>
    <row r="343">
      <c r="A343" s="11" t="inlineStr">
        <is>
          <t>793c1790-45cb-4453-8b41-1d746318cee2</t>
        </is>
      </c>
      <c r="B343" s="11" t="inlineStr">
        <is>
          <t>Prod healthcheck1</t>
        </is>
      </c>
      <c r="C343" s="24" t="n">
        <v>46205</v>
      </c>
      <c r="D343" s="11" t="inlineStr">
        <is>
          <t>2026-07</t>
        </is>
      </c>
      <c r="E343" s="11" t="b">
        <v>1</v>
      </c>
      <c r="F343" s="11" t="b">
        <v>1</v>
      </c>
      <c r="G343" s="11" t="b">
        <v>1</v>
      </c>
      <c r="H343" s="11" t="b">
        <v>1</v>
      </c>
      <c r="I343" s="11" t="b">
        <v>1</v>
      </c>
      <c r="J343" s="11" t="b">
        <v>0</v>
      </c>
      <c r="K343" s="11" t="b">
        <v>1</v>
      </c>
      <c r="L343" s="11" t="b">
        <v>1</v>
      </c>
      <c r="M343" s="11" t="b">
        <v>1</v>
      </c>
      <c r="N343" s="11" t="b">
        <v>1</v>
      </c>
      <c r="O343" s="11" t="n">
        <v>1</v>
      </c>
      <c r="P343" s="11" t="n">
        <v>1</v>
      </c>
      <c r="Q343" s="11" t="n">
        <v>0</v>
      </c>
      <c r="R343" s="11" t="n"/>
      <c r="S343" s="24" t="n">
        <v>46206</v>
      </c>
      <c r="T343" s="24" t="n">
        <v>46206</v>
      </c>
      <c r="U343" s="11" t="n">
        <v>0</v>
      </c>
      <c r="V343" s="12" t="n">
        <v>0</v>
      </c>
      <c r="W343" s="11" t="inlineStr">
        <is>
          <t>Azz7yFVOEnwlw253d</t>
        </is>
      </c>
      <c r="X343" s="12" t="n"/>
      <c r="Y343" s="11" t="inlineStr">
        <is>
          <t>cancelled</t>
        </is>
      </c>
      <c r="Z343" s="11" t="inlineStr">
        <is>
          <t>gbp</t>
        </is>
      </c>
    </row>
    <row r="344">
      <c r="A344" s="8" t="inlineStr">
        <is>
          <t>0d712aa4-bbbc-4ef3-b127-023d2c2506f2</t>
        </is>
      </c>
      <c r="B344" s="8" t="inlineStr">
        <is>
          <t>Saxena spa salon gsisg</t>
        </is>
      </c>
      <c r="C344" s="23" t="n">
        <v>46206</v>
      </c>
      <c r="D344" s="8" t="inlineStr">
        <is>
          <t>2026-07</t>
        </is>
      </c>
      <c r="E344" s="8" t="b">
        <v>1</v>
      </c>
      <c r="F344" s="8" t="b">
        <v>1</v>
      </c>
      <c r="G344" s="8" t="b">
        <v>1</v>
      </c>
      <c r="H344" s="8" t="b">
        <v>1</v>
      </c>
      <c r="I344" s="8" t="b">
        <v>1</v>
      </c>
      <c r="J344" s="8" t="b">
        <v>0</v>
      </c>
      <c r="K344" s="8" t="b">
        <v>1</v>
      </c>
      <c r="L344" s="8" t="b">
        <v>1</v>
      </c>
      <c r="M344" s="8" t="b">
        <v>1</v>
      </c>
      <c r="N344" s="8" t="b">
        <v>1</v>
      </c>
      <c r="O344" s="8" t="n">
        <v>7</v>
      </c>
      <c r="P344" s="8" t="n">
        <v>1</v>
      </c>
      <c r="Q344" s="8" t="n">
        <v>0</v>
      </c>
      <c r="R344" s="8" t="n"/>
      <c r="S344" s="23" t="n">
        <v>46206</v>
      </c>
      <c r="T344" s="23" t="n">
        <v>46211</v>
      </c>
      <c r="U344" s="8" t="n">
        <v>2</v>
      </c>
      <c r="V344" s="9" t="n">
        <v>165</v>
      </c>
      <c r="W344" s="8" t="inlineStr">
        <is>
          <t>169jw4VOJvxA74dfb</t>
        </is>
      </c>
      <c r="X344" s="9" t="n"/>
      <c r="Y344" s="8" t="inlineStr">
        <is>
          <t>cancelled</t>
        </is>
      </c>
      <c r="Z344" s="8" t="inlineStr">
        <is>
          <t>gbp_logs</t>
        </is>
      </c>
    </row>
    <row r="345">
      <c r="A345" s="11" t="inlineStr">
        <is>
          <t>33ad7bcc-3a7e-42cd-9064-5b18c5e68178</t>
        </is>
      </c>
      <c r="B345" s="11" t="inlineStr">
        <is>
          <t>QA Dev Salon</t>
        </is>
      </c>
      <c r="C345" s="24" t="n">
        <v>46206</v>
      </c>
      <c r="D345" s="11" t="inlineStr">
        <is>
          <t>2026-07</t>
        </is>
      </c>
      <c r="E345" s="11" t="b">
        <v>1</v>
      </c>
      <c r="F345" s="11" t="b">
        <v>1</v>
      </c>
      <c r="G345" s="11" t="b">
        <v>1</v>
      </c>
      <c r="H345" s="11" t="b">
        <v>1</v>
      </c>
      <c r="I345" s="11" t="b">
        <v>1</v>
      </c>
      <c r="J345" s="11" t="b">
        <v>0</v>
      </c>
      <c r="K345" s="11" t="b">
        <v>1</v>
      </c>
      <c r="L345" s="11" t="b">
        <v>1</v>
      </c>
      <c r="M345" s="11" t="b">
        <v>1</v>
      </c>
      <c r="N345" s="11" t="b">
        <v>1</v>
      </c>
      <c r="O345" s="11" t="n">
        <v>0</v>
      </c>
      <c r="P345" s="11" t="n">
        <v>0</v>
      </c>
      <c r="Q345" s="11" t="n">
        <v>0</v>
      </c>
      <c r="R345" s="11" t="n"/>
      <c r="S345" s="24" t="n"/>
      <c r="T345" s="24" t="n"/>
      <c r="U345" s="11" t="n">
        <v>0</v>
      </c>
      <c r="V345" s="12" t="n">
        <v>0</v>
      </c>
      <c r="W345" s="11" t="inlineStr">
        <is>
          <t>169rR3VOKNol64YxB</t>
        </is>
      </c>
      <c r="X345" s="12" t="n"/>
      <c r="Y345" s="11" t="n"/>
      <c r="Z345" s="11" t="inlineStr">
        <is>
          <t>gbp</t>
        </is>
      </c>
    </row>
    <row r="346">
      <c r="A346" s="8" t="inlineStr">
        <is>
          <t>b7efab51-5434-48d0-8021-ff810b980341</t>
        </is>
      </c>
      <c r="B346" s="8" t="inlineStr">
        <is>
          <t>Lips On Demand NYC</t>
        </is>
      </c>
      <c r="C346" s="23" t="n">
        <v>46206</v>
      </c>
      <c r="D346" s="8" t="inlineStr">
        <is>
          <t>2026-07</t>
        </is>
      </c>
      <c r="E346" s="8" t="b">
        <v>1</v>
      </c>
      <c r="F346" s="8" t="b">
        <v>1</v>
      </c>
      <c r="G346" s="8" t="b">
        <v>1</v>
      </c>
      <c r="H346" s="8" t="b">
        <v>1</v>
      </c>
      <c r="I346" s="8" t="b">
        <v>1</v>
      </c>
      <c r="J346" s="8" t="b">
        <v>0</v>
      </c>
      <c r="K346" s="8" t="b">
        <v>1</v>
      </c>
      <c r="L346" s="8" t="b">
        <v>1</v>
      </c>
      <c r="M346" s="8" t="b">
        <v>1</v>
      </c>
      <c r="N346" s="8" t="b">
        <v>1</v>
      </c>
      <c r="O346" s="8" t="n">
        <v>1</v>
      </c>
      <c r="P346" s="8" t="n">
        <v>1</v>
      </c>
      <c r="Q346" s="8" t="n">
        <v>0</v>
      </c>
      <c r="R346" s="8" t="n"/>
      <c r="S346" s="23" t="n">
        <v>46210</v>
      </c>
      <c r="T346" s="23" t="n">
        <v>46210</v>
      </c>
      <c r="U346" s="8" t="n">
        <v>0</v>
      </c>
      <c r="V346" s="9" t="n">
        <v>0</v>
      </c>
      <c r="W346" s="8" t="n"/>
      <c r="X346" s="9" t="n"/>
      <c r="Y346" s="8" t="n"/>
      <c r="Z346" s="8" t="inlineStr">
        <is>
          <t>businesses</t>
        </is>
      </c>
    </row>
    <row r="347">
      <c r="A347" s="11" t="inlineStr">
        <is>
          <t>d4eafc98-6648-4c60-97a1-6f4b4071f8ae</t>
        </is>
      </c>
      <c r="B347" s="11" t="inlineStr">
        <is>
          <t>Natasha care</t>
        </is>
      </c>
      <c r="C347" s="24" t="n">
        <v>46209</v>
      </c>
      <c r="D347" s="11" t="inlineStr">
        <is>
          <t>2026-07</t>
        </is>
      </c>
      <c r="E347" s="11" t="b">
        <v>1</v>
      </c>
      <c r="F347" s="11" t="b">
        <v>1</v>
      </c>
      <c r="G347" s="11" t="b">
        <v>1</v>
      </c>
      <c r="H347" s="11" t="b">
        <v>1</v>
      </c>
      <c r="I347" s="11" t="b">
        <v>1</v>
      </c>
      <c r="J347" s="11" t="b">
        <v>0</v>
      </c>
      <c r="K347" s="11" t="b">
        <v>1</v>
      </c>
      <c r="L347" s="11" t="b">
        <v>1</v>
      </c>
      <c r="M347" s="11" t="b">
        <v>1</v>
      </c>
      <c r="N347" s="11" t="b">
        <v>1</v>
      </c>
      <c r="O347" s="11" t="n">
        <v>3</v>
      </c>
      <c r="P347" s="11" t="n">
        <v>1</v>
      </c>
      <c r="Q347" s="11" t="n">
        <v>0</v>
      </c>
      <c r="R347" s="11" t="n"/>
      <c r="S347" s="24" t="n">
        <v>46209</v>
      </c>
      <c r="T347" s="24" t="n">
        <v>46217</v>
      </c>
      <c r="U347" s="11" t="n">
        <v>1</v>
      </c>
      <c r="V347" s="12" t="n">
        <v>44.8</v>
      </c>
      <c r="W347" s="11" t="n"/>
      <c r="X347" s="12" t="n"/>
      <c r="Y347" s="11" t="n"/>
      <c r="Z347" s="11" t="inlineStr">
        <is>
          <t>gbp</t>
        </is>
      </c>
    </row>
    <row r="348">
      <c r="A348" s="8" t="inlineStr">
        <is>
          <t>add9a824-e2f8-452e-b25d-80c2efc21168</t>
        </is>
      </c>
      <c r="B348" s="8" t="inlineStr">
        <is>
          <t>Flawless image Hair salon</t>
        </is>
      </c>
      <c r="C348" s="23" t="n">
        <v>46209</v>
      </c>
      <c r="D348" s="8" t="inlineStr">
        <is>
          <t>2026-07</t>
        </is>
      </c>
      <c r="E348" s="8" t="b">
        <v>1</v>
      </c>
      <c r="F348" s="8" t="b">
        <v>1</v>
      </c>
      <c r="G348" s="8" t="b">
        <v>1</v>
      </c>
      <c r="H348" s="8" t="b">
        <v>1</v>
      </c>
      <c r="I348" s="8" t="b">
        <v>1</v>
      </c>
      <c r="J348" s="8" t="b">
        <v>0</v>
      </c>
      <c r="K348" s="8" t="b">
        <v>1</v>
      </c>
      <c r="L348" s="8" t="b">
        <v>1</v>
      </c>
      <c r="M348" s="8" t="b">
        <v>1</v>
      </c>
      <c r="N348" s="8" t="b">
        <v>1</v>
      </c>
      <c r="O348" s="8" t="n">
        <v>1</v>
      </c>
      <c r="P348" s="8" t="n">
        <v>1</v>
      </c>
      <c r="Q348" s="8" t="n">
        <v>0</v>
      </c>
      <c r="R348" s="8" t="n"/>
      <c r="S348" s="23" t="n">
        <v>46223</v>
      </c>
      <c r="T348" s="23" t="n">
        <v>46223</v>
      </c>
      <c r="U348" s="8" t="n">
        <v>0</v>
      </c>
      <c r="V348" s="9" t="n">
        <v>0</v>
      </c>
      <c r="W348" s="8" t="inlineStr">
        <is>
          <t>AzZlYmV2YsinDkTk</t>
        </is>
      </c>
      <c r="X348" s="9" t="n">
        <v>199</v>
      </c>
      <c r="Y348" s="8" t="inlineStr">
        <is>
          <t>active</t>
        </is>
      </c>
      <c r="Z348" s="8" t="inlineStr">
        <is>
          <t>gbp</t>
        </is>
      </c>
    </row>
    <row r="349">
      <c r="A349" s="11" t="inlineStr">
        <is>
          <t>98548bdf-e43c-41da-8020-a0f22ba4dab4</t>
        </is>
      </c>
      <c r="B349" s="11" t="inlineStr">
        <is>
          <t>HairCUSTOMIZED, LLC</t>
        </is>
      </c>
      <c r="C349" s="24" t="n">
        <v>46209</v>
      </c>
      <c r="D349" s="11" t="inlineStr">
        <is>
          <t>2026-07</t>
        </is>
      </c>
      <c r="E349" s="11" t="b">
        <v>1</v>
      </c>
      <c r="F349" s="11" t="b">
        <v>1</v>
      </c>
      <c r="G349" s="11" t="b">
        <v>1</v>
      </c>
      <c r="H349" s="11" t="b">
        <v>1</v>
      </c>
      <c r="I349" s="11" t="b">
        <v>1</v>
      </c>
      <c r="J349" s="11" t="b">
        <v>1</v>
      </c>
      <c r="K349" s="11" t="b">
        <v>1</v>
      </c>
      <c r="L349" s="11" t="b">
        <v>1</v>
      </c>
      <c r="M349" s="11" t="b">
        <v>1</v>
      </c>
      <c r="N349" s="11" t="b">
        <v>1</v>
      </c>
      <c r="O349" s="11" t="n">
        <v>4</v>
      </c>
      <c r="P349" s="11" t="n">
        <v>4</v>
      </c>
      <c r="Q349" s="11" t="n">
        <v>768</v>
      </c>
      <c r="R349" s="11" t="inlineStr">
        <is>
          <t>ACUITY</t>
        </is>
      </c>
      <c r="S349" s="24" t="n">
        <v>46209</v>
      </c>
      <c r="T349" s="24" t="n">
        <v>46226</v>
      </c>
      <c r="U349" s="11" t="n">
        <v>0</v>
      </c>
      <c r="V349" s="12" t="n">
        <v>0</v>
      </c>
      <c r="W349" s="11" t="inlineStr">
        <is>
          <t>16CUezVOcuGnFDBPg</t>
        </is>
      </c>
      <c r="X349" s="12" t="n">
        <v>248</v>
      </c>
      <c r="Y349" s="11" t="inlineStr">
        <is>
          <t>active</t>
        </is>
      </c>
      <c r="Z349" s="11" t="inlineStr">
        <is>
          <t>gbp</t>
        </is>
      </c>
    </row>
    <row r="350">
      <c r="A350" s="8" t="inlineStr">
        <is>
          <t>f6693dd7-6c89-4b80-8d6f-d7c24b0b2517</t>
        </is>
      </c>
      <c r="B350" s="8" t="inlineStr">
        <is>
          <t>Diana Antes Studio</t>
        </is>
      </c>
      <c r="C350" s="23" t="n">
        <v>46209</v>
      </c>
      <c r="D350" s="8" t="inlineStr">
        <is>
          <t>2026-07</t>
        </is>
      </c>
      <c r="E350" s="8" t="b">
        <v>1</v>
      </c>
      <c r="F350" s="8" t="b">
        <v>1</v>
      </c>
      <c r="G350" s="8" t="b">
        <v>1</v>
      </c>
      <c r="H350" s="8" t="b">
        <v>1</v>
      </c>
      <c r="I350" s="8" t="b">
        <v>1</v>
      </c>
      <c r="J350" s="8" t="b">
        <v>0</v>
      </c>
      <c r="K350" s="8" t="b">
        <v>0</v>
      </c>
      <c r="L350" s="8" t="b">
        <v>0</v>
      </c>
      <c r="M350" s="8" t="b">
        <v>0</v>
      </c>
      <c r="N350" s="8" t="b">
        <v>0</v>
      </c>
      <c r="O350" s="8" t="n">
        <v>0</v>
      </c>
      <c r="P350" s="8" t="n">
        <v>0</v>
      </c>
      <c r="Q350" s="8" t="n">
        <v>0</v>
      </c>
      <c r="R350" s="8" t="n"/>
      <c r="S350" s="23" t="n"/>
      <c r="T350" s="23" t="n"/>
      <c r="U350" s="8" t="n">
        <v>0</v>
      </c>
      <c r="V350" s="9" t="n">
        <v>0</v>
      </c>
      <c r="W350" s="8" t="inlineStr">
        <is>
          <t>16AgJKV0yxWi9BPe</t>
        </is>
      </c>
      <c r="X350" s="9" t="n">
        <v>299</v>
      </c>
      <c r="Y350" s="8" t="inlineStr">
        <is>
          <t>active</t>
        </is>
      </c>
      <c r="Z350" s="8" t="inlineStr">
        <is>
          <t>gbp</t>
        </is>
      </c>
    </row>
    <row r="351">
      <c r="A351" s="11" t="inlineStr">
        <is>
          <t>80048d97-b23a-4aa5-be0f-10577ecc69ce</t>
        </is>
      </c>
      <c r="B351" s="11" t="inlineStr">
        <is>
          <t>African Hair Braiding by Fama</t>
        </is>
      </c>
      <c r="C351" s="24" t="n">
        <v>46209</v>
      </c>
      <c r="D351" s="11" t="inlineStr">
        <is>
          <t>2026-07</t>
        </is>
      </c>
      <c r="E351" s="11" t="b">
        <v>1</v>
      </c>
      <c r="F351" s="11" t="b">
        <v>1</v>
      </c>
      <c r="G351" s="11" t="b">
        <v>1</v>
      </c>
      <c r="H351" s="11" t="b">
        <v>1</v>
      </c>
      <c r="I351" s="11" t="b">
        <v>1</v>
      </c>
      <c r="J351" s="11" t="b">
        <v>1</v>
      </c>
      <c r="K351" s="11" t="b">
        <v>1</v>
      </c>
      <c r="L351" s="11" t="b">
        <v>1</v>
      </c>
      <c r="M351" s="11" t="b">
        <v>1</v>
      </c>
      <c r="N351" s="11" t="b">
        <v>1</v>
      </c>
      <c r="O351" s="11" t="n">
        <v>4</v>
      </c>
      <c r="P351" s="11" t="n">
        <v>4</v>
      </c>
      <c r="Q351" s="11" t="n">
        <v>0</v>
      </c>
      <c r="R351" s="11" t="n"/>
      <c r="S351" s="24" t="n">
        <v>46221</v>
      </c>
      <c r="T351" s="24" t="n">
        <v>46232</v>
      </c>
      <c r="U351" s="11" t="n">
        <v>4</v>
      </c>
      <c r="V351" s="12" t="n">
        <v>207.24</v>
      </c>
      <c r="W351" s="11" t="inlineStr">
        <is>
          <t>AzZL7WVOfxWbuhjd</t>
        </is>
      </c>
      <c r="X351" s="12" t="n">
        <v>300</v>
      </c>
      <c r="Y351" s="11" t="inlineStr">
        <is>
          <t>active</t>
        </is>
      </c>
      <c r="Z351" s="11" t="inlineStr">
        <is>
          <t>gbp</t>
        </is>
      </c>
    </row>
    <row r="352">
      <c r="A352" s="8" t="inlineStr">
        <is>
          <t>1c95929a-dc4a-449c-bf76-c73b9f96247f</t>
        </is>
      </c>
      <c r="B352" s="8" t="inlineStr">
        <is>
          <t>Natasha Braids</t>
        </is>
      </c>
      <c r="C352" s="23" t="n">
        <v>46210</v>
      </c>
      <c r="D352" s="8" t="inlineStr">
        <is>
          <t>2026-07</t>
        </is>
      </c>
      <c r="E352" s="8" t="b">
        <v>1</v>
      </c>
      <c r="F352" s="8" t="b">
        <v>0</v>
      </c>
      <c r="G352" s="8" t="b">
        <v>0</v>
      </c>
      <c r="H352" s="8" t="b">
        <v>0</v>
      </c>
      <c r="I352" s="8" t="b">
        <v>0</v>
      </c>
      <c r="J352" s="8" t="b">
        <v>0</v>
      </c>
      <c r="K352" s="8" t="b">
        <v>0</v>
      </c>
      <c r="L352" s="8" t="b">
        <v>0</v>
      </c>
      <c r="M352" s="8" t="b">
        <v>0</v>
      </c>
      <c r="N352" s="8" t="b">
        <v>0</v>
      </c>
      <c r="O352" s="8" t="n">
        <v>0</v>
      </c>
      <c r="P352" s="8" t="n">
        <v>0</v>
      </c>
      <c r="Q352" s="8" t="n">
        <v>0</v>
      </c>
      <c r="R352" s="8" t="n"/>
      <c r="S352" s="23" t="n"/>
      <c r="T352" s="23" t="n"/>
      <c r="U352" s="8" t="n">
        <v>0</v>
      </c>
      <c r="V352" s="9" t="n">
        <v>0</v>
      </c>
      <c r="W352" s="8" t="inlineStr">
        <is>
          <t>AzqFN2VOgnGFf1Dp4</t>
        </is>
      </c>
      <c r="X352" s="9" t="n"/>
      <c r="Y352" s="8" t="n"/>
      <c r="Z352" s="8" t="inlineStr">
        <is>
          <t>gbp_logs</t>
        </is>
      </c>
    </row>
    <row r="353">
      <c r="A353" s="11" t="inlineStr">
        <is>
          <t>c94bb0ea-3e54-4f58-8d25-ec0bb61c50c5</t>
        </is>
      </c>
      <c r="B353" s="11" t="inlineStr">
        <is>
          <t>Forever Balanced Massage</t>
        </is>
      </c>
      <c r="C353" s="24" t="n">
        <v>46210</v>
      </c>
      <c r="D353" s="11" t="inlineStr">
        <is>
          <t>2026-07</t>
        </is>
      </c>
      <c r="E353" s="11" t="b">
        <v>1</v>
      </c>
      <c r="F353" s="11" t="b">
        <v>1</v>
      </c>
      <c r="G353" s="11" t="b">
        <v>1</v>
      </c>
      <c r="H353" s="11" t="b">
        <v>1</v>
      </c>
      <c r="I353" s="11" t="b">
        <v>1</v>
      </c>
      <c r="J353" s="11" t="b">
        <v>0</v>
      </c>
      <c r="K353" s="11" t="b">
        <v>1</v>
      </c>
      <c r="L353" s="11" t="b">
        <v>1</v>
      </c>
      <c r="M353" s="11" t="b">
        <v>1</v>
      </c>
      <c r="N353" s="11" t="b">
        <v>1</v>
      </c>
      <c r="O353" s="11" t="n">
        <v>13</v>
      </c>
      <c r="P353" s="11" t="n">
        <v>7</v>
      </c>
      <c r="Q353" s="11" t="n">
        <v>28</v>
      </c>
      <c r="R353" s="11" t="inlineStr">
        <is>
          <t>GODADDY</t>
        </is>
      </c>
      <c r="S353" s="24" t="n">
        <v>46216</v>
      </c>
      <c r="T353" s="24" t="n">
        <v>46237</v>
      </c>
      <c r="U353" s="11" t="n">
        <v>0</v>
      </c>
      <c r="V353" s="12" t="n">
        <v>0</v>
      </c>
      <c r="W353" s="11" t="inlineStr">
        <is>
          <t>cus_RO61BZeoFpGZad</t>
        </is>
      </c>
      <c r="X353" s="12" t="n">
        <v>99</v>
      </c>
      <c r="Y353" s="11" t="inlineStr">
        <is>
          <t>active</t>
        </is>
      </c>
      <c r="Z353" s="11" t="inlineStr">
        <is>
          <t>gbp</t>
        </is>
      </c>
    </row>
    <row r="354">
      <c r="A354" s="8" t="inlineStr">
        <is>
          <t>49fb77a4-35bb-4c45-abae-2e21f6ae02b1</t>
        </is>
      </c>
      <c r="B354" s="8" t="inlineStr">
        <is>
          <t>Royal African Braiding Studio</t>
        </is>
      </c>
      <c r="C354" s="23" t="n">
        <v>46210</v>
      </c>
      <c r="D354" s="8" t="inlineStr">
        <is>
          <t>2026-07</t>
        </is>
      </c>
      <c r="E354" s="8" t="b">
        <v>1</v>
      </c>
      <c r="F354" s="8" t="b">
        <v>1</v>
      </c>
      <c r="G354" s="8" t="b">
        <v>1</v>
      </c>
      <c r="H354" s="8" t="b">
        <v>1</v>
      </c>
      <c r="I354" s="8" t="b">
        <v>1</v>
      </c>
      <c r="J354" s="8" t="b">
        <v>1</v>
      </c>
      <c r="K354" s="8" t="b">
        <v>1</v>
      </c>
      <c r="L354" s="8" t="b">
        <v>1</v>
      </c>
      <c r="M354" s="8" t="b">
        <v>1</v>
      </c>
      <c r="N354" s="8" t="b">
        <v>1</v>
      </c>
      <c r="O354" s="8" t="n">
        <v>6</v>
      </c>
      <c r="P354" s="8" t="n">
        <v>6</v>
      </c>
      <c r="Q354" s="8" t="n">
        <v>0</v>
      </c>
      <c r="R354" s="8" t="n"/>
      <c r="S354" s="23" t="n">
        <v>46210</v>
      </c>
      <c r="T354" s="23" t="n">
        <v>46233</v>
      </c>
      <c r="U354" s="8" t="n">
        <v>1</v>
      </c>
      <c r="V354" s="9" t="n">
        <v>41.51</v>
      </c>
      <c r="W354" s="8" t="inlineStr">
        <is>
          <t>169lR4VOhcdGP1kaJ</t>
        </is>
      </c>
      <c r="X354" s="9" t="n">
        <v>149</v>
      </c>
      <c r="Y354" s="8" t="inlineStr">
        <is>
          <t>active</t>
        </is>
      </c>
      <c r="Z354" s="8" t="inlineStr">
        <is>
          <t>gbp</t>
        </is>
      </c>
    </row>
    <row r="355">
      <c r="A355" s="11" t="inlineStr">
        <is>
          <t>677275ce-163b-40de-af76-90ac5b66b3c1</t>
        </is>
      </c>
      <c r="B355" s="11" t="inlineStr">
        <is>
          <t>Judy Hair Salon</t>
        </is>
      </c>
      <c r="C355" s="24" t="n">
        <v>46210</v>
      </c>
      <c r="D355" s="11" t="inlineStr">
        <is>
          <t>2026-07</t>
        </is>
      </c>
      <c r="E355" s="11" t="b">
        <v>1</v>
      </c>
      <c r="F355" s="11" t="b">
        <v>1</v>
      </c>
      <c r="G355" s="11" t="b">
        <v>1</v>
      </c>
      <c r="H355" s="11" t="b">
        <v>1</v>
      </c>
      <c r="I355" s="11" t="b">
        <v>1</v>
      </c>
      <c r="J355" s="11" t="b">
        <v>0</v>
      </c>
      <c r="K355" s="11" t="b">
        <v>1</v>
      </c>
      <c r="L355" s="11" t="b">
        <v>1</v>
      </c>
      <c r="M355" s="11" t="b">
        <v>1</v>
      </c>
      <c r="N355" s="11" t="b">
        <v>1</v>
      </c>
      <c r="O355" s="11" t="n">
        <v>0</v>
      </c>
      <c r="P355" s="11" t="n">
        <v>0</v>
      </c>
      <c r="Q355" s="11" t="n">
        <v>0</v>
      </c>
      <c r="R355" s="11" t="n"/>
      <c r="S355" s="24" t="n"/>
      <c r="T355" s="24" t="n"/>
      <c r="U355" s="11" t="n">
        <v>0</v>
      </c>
      <c r="V355" s="12" t="n">
        <v>0</v>
      </c>
      <c r="W355" s="11" t="inlineStr">
        <is>
          <t>16BizYUvHCbmf28aC</t>
        </is>
      </c>
      <c r="X355" s="12" t="n">
        <v>199</v>
      </c>
      <c r="Y355" s="11" t="inlineStr">
        <is>
          <t>active</t>
        </is>
      </c>
      <c r="Z355" s="11" t="inlineStr">
        <is>
          <t>gbp</t>
        </is>
      </c>
    </row>
    <row r="356">
      <c r="A356" s="8" t="inlineStr">
        <is>
          <t>1695e3b5-77e9-43c7-9052-b044964e1bc6</t>
        </is>
      </c>
      <c r="B356" s="8" t="inlineStr">
        <is>
          <t>Essence Esthetics: Skin · Lashes · Brows</t>
        </is>
      </c>
      <c r="C356" s="23" t="n">
        <v>46210</v>
      </c>
      <c r="D356" s="8" t="inlineStr">
        <is>
          <t>2026-07</t>
        </is>
      </c>
      <c r="E356" s="8" t="b">
        <v>1</v>
      </c>
      <c r="F356" s="8" t="b">
        <v>1</v>
      </c>
      <c r="G356" s="8" t="b">
        <v>1</v>
      </c>
      <c r="H356" s="8" t="b">
        <v>1</v>
      </c>
      <c r="I356" s="8" t="b">
        <v>1</v>
      </c>
      <c r="J356" s="8" t="b">
        <v>1</v>
      </c>
      <c r="K356" s="8" t="b">
        <v>0</v>
      </c>
      <c r="L356" s="8" t="b">
        <v>1</v>
      </c>
      <c r="M356" s="8" t="b">
        <v>1</v>
      </c>
      <c r="N356" s="8" t="b">
        <v>1</v>
      </c>
      <c r="O356" s="8" t="n">
        <v>22</v>
      </c>
      <c r="P356" s="8" t="n">
        <v>7</v>
      </c>
      <c r="Q356" s="8" t="n">
        <v>3131</v>
      </c>
      <c r="R356" s="8" t="inlineStr">
        <is>
          <t>SQUARE</t>
        </is>
      </c>
      <c r="S356" s="23" t="n">
        <v>46216</v>
      </c>
      <c r="T356" s="23" t="n">
        <v>46234</v>
      </c>
      <c r="U356" s="8" t="n">
        <v>11</v>
      </c>
      <c r="V356" s="9" t="n">
        <v>1061.25</v>
      </c>
      <c r="W356" s="8" t="inlineStr">
        <is>
          <t>cus_PAvTgQiWVowr5E</t>
        </is>
      </c>
      <c r="X356" s="9" t="n">
        <v>100</v>
      </c>
      <c r="Y356" s="8" t="inlineStr">
        <is>
          <t>active</t>
        </is>
      </c>
      <c r="Z356" s="8" t="inlineStr">
        <is>
          <t>gbp</t>
        </is>
      </c>
    </row>
    <row r="357">
      <c r="A357" s="11" t="inlineStr">
        <is>
          <t>e731dcc6-8d77-4740-81cb-597d880c2197</t>
        </is>
      </c>
      <c r="B357" s="11" t="inlineStr">
        <is>
          <t>Jeddah Beauty Centre</t>
        </is>
      </c>
      <c r="C357" s="24" t="n">
        <v>46210</v>
      </c>
      <c r="D357" s="11" t="inlineStr">
        <is>
          <t>2026-07</t>
        </is>
      </c>
      <c r="E357" s="11" t="b">
        <v>1</v>
      </c>
      <c r="F357" s="11" t="b">
        <v>1</v>
      </c>
      <c r="G357" s="11" t="b">
        <v>1</v>
      </c>
      <c r="H357" s="11" t="b">
        <v>0</v>
      </c>
      <c r="I357" s="11" t="b">
        <v>0</v>
      </c>
      <c r="J357" s="11" t="b">
        <v>0</v>
      </c>
      <c r="K357" s="11" t="b">
        <v>0</v>
      </c>
      <c r="L357" s="11" t="b">
        <v>0</v>
      </c>
      <c r="M357" s="11" t="b">
        <v>0</v>
      </c>
      <c r="N357" s="11" t="b">
        <v>0</v>
      </c>
      <c r="O357" s="11" t="n">
        <v>0</v>
      </c>
      <c r="P357" s="11" t="n">
        <v>0</v>
      </c>
      <c r="Q357" s="11" t="n">
        <v>0</v>
      </c>
      <c r="R357" s="11" t="n"/>
      <c r="S357" s="24" t="n"/>
      <c r="T357" s="24" t="n"/>
      <c r="U357" s="11" t="n">
        <v>0</v>
      </c>
      <c r="V357" s="12" t="n">
        <v>0</v>
      </c>
      <c r="W357" s="11" t="n"/>
      <c r="X357" s="12" t="n"/>
      <c r="Y357" s="11" t="n"/>
      <c r="Z357" s="11" t="inlineStr">
        <is>
          <t>gbp</t>
        </is>
      </c>
    </row>
    <row r="358">
      <c r="A358" s="8" t="inlineStr">
        <is>
          <t>3ed0f1fe-44f7-4075-bc44-7013ab968f3d</t>
        </is>
      </c>
      <c r="B358" s="8" t="inlineStr">
        <is>
          <t>Amaze Salon and Spa</t>
        </is>
      </c>
      <c r="C358" s="23" t="n">
        <v>46210</v>
      </c>
      <c r="D358" s="8" t="inlineStr">
        <is>
          <t>2026-07</t>
        </is>
      </c>
      <c r="E358" s="8" t="b">
        <v>1</v>
      </c>
      <c r="F358" s="8" t="b">
        <v>1</v>
      </c>
      <c r="G358" s="8" t="b">
        <v>1</v>
      </c>
      <c r="H358" s="8" t="b">
        <v>1</v>
      </c>
      <c r="I358" s="8" t="b">
        <v>1</v>
      </c>
      <c r="J358" s="8" t="b">
        <v>0</v>
      </c>
      <c r="K358" s="8" t="b">
        <v>0</v>
      </c>
      <c r="L358" s="8" t="b">
        <v>0</v>
      </c>
      <c r="M358" s="8" t="b">
        <v>0</v>
      </c>
      <c r="N358" s="8" t="b">
        <v>0</v>
      </c>
      <c r="O358" s="8" t="n">
        <v>0</v>
      </c>
      <c r="P358" s="8" t="n">
        <v>0</v>
      </c>
      <c r="Q358" s="8" t="n">
        <v>0</v>
      </c>
      <c r="R358" s="8" t="n"/>
      <c r="S358" s="23" t="n"/>
      <c r="T358" s="23" t="n"/>
      <c r="U358" s="8" t="n">
        <v>0</v>
      </c>
      <c r="V358" s="9" t="n">
        <v>0</v>
      </c>
      <c r="W358" s="8" t="n"/>
      <c r="X358" s="9" t="n"/>
      <c r="Y358" s="8" t="n"/>
      <c r="Z358" s="8" t="inlineStr">
        <is>
          <t>gbp</t>
        </is>
      </c>
    </row>
    <row r="359">
      <c r="A359" s="11" t="inlineStr">
        <is>
          <t>400fdad0-7774-449a-80c5-bed11152b16c</t>
        </is>
      </c>
      <c r="B359" s="11" t="inlineStr">
        <is>
          <t>Just Because Hair Therapy Salon</t>
        </is>
      </c>
      <c r="C359" s="24" t="n">
        <v>46210</v>
      </c>
      <c r="D359" s="11" t="inlineStr">
        <is>
          <t>2026-07</t>
        </is>
      </c>
      <c r="E359" s="11" t="b">
        <v>1</v>
      </c>
      <c r="F359" s="11" t="b">
        <v>1</v>
      </c>
      <c r="G359" s="11" t="b">
        <v>1</v>
      </c>
      <c r="H359" s="11" t="b">
        <v>1</v>
      </c>
      <c r="I359" s="11" t="b">
        <v>1</v>
      </c>
      <c r="J359" s="11" t="b">
        <v>1</v>
      </c>
      <c r="K359" s="11" t="b">
        <v>1</v>
      </c>
      <c r="L359" s="11" t="b">
        <v>1</v>
      </c>
      <c r="M359" s="11" t="b">
        <v>1</v>
      </c>
      <c r="N359" s="11" t="b">
        <v>1</v>
      </c>
      <c r="O359" s="11" t="n">
        <v>15</v>
      </c>
      <c r="P359" s="11" t="n">
        <v>6</v>
      </c>
      <c r="Q359" s="11" t="n">
        <v>3978</v>
      </c>
      <c r="R359" s="11" t="inlineStr">
        <is>
          <t>GLOSSGENIUS</t>
        </is>
      </c>
      <c r="S359" s="24" t="n">
        <v>46211</v>
      </c>
      <c r="T359" s="24" t="n">
        <v>46234</v>
      </c>
      <c r="U359" s="11" t="n">
        <v>5</v>
      </c>
      <c r="V359" s="12" t="n">
        <v>768.92</v>
      </c>
      <c r="W359" s="11" t="inlineStr">
        <is>
          <t>AzqGSdUztdchX9pVw</t>
        </is>
      </c>
      <c r="X359" s="12" t="n">
        <v>249</v>
      </c>
      <c r="Y359" s="11" t="inlineStr">
        <is>
          <t>active</t>
        </is>
      </c>
      <c r="Z359" s="11" t="inlineStr">
        <is>
          <t>gbp</t>
        </is>
      </c>
    </row>
    <row r="360">
      <c r="A360" s="8" t="inlineStr">
        <is>
          <t>a261efd2-553e-464e-bd76-8abf31b517b1</t>
        </is>
      </c>
      <c r="B360" s="8" t="inlineStr">
        <is>
          <t>Tiffany Pretty &amp; Co.</t>
        </is>
      </c>
      <c r="C360" s="23" t="n">
        <v>46210</v>
      </c>
      <c r="D360" s="8" t="inlineStr">
        <is>
          <t>2026-07</t>
        </is>
      </c>
      <c r="E360" s="8" t="b">
        <v>1</v>
      </c>
      <c r="F360" s="8" t="b">
        <v>1</v>
      </c>
      <c r="G360" s="8" t="b">
        <v>1</v>
      </c>
      <c r="H360" s="8" t="b">
        <v>1</v>
      </c>
      <c r="I360" s="8" t="b">
        <v>1</v>
      </c>
      <c r="J360" s="8" t="b">
        <v>1</v>
      </c>
      <c r="K360" s="8" t="b">
        <v>1</v>
      </c>
      <c r="L360" s="8" t="b">
        <v>1</v>
      </c>
      <c r="M360" s="8" t="b">
        <v>1</v>
      </c>
      <c r="N360" s="8" t="b">
        <v>1</v>
      </c>
      <c r="O360" s="8" t="n">
        <v>78</v>
      </c>
      <c r="P360" s="8" t="n">
        <v>44</v>
      </c>
      <c r="Q360" s="8" t="n">
        <v>6321</v>
      </c>
      <c r="R360" s="8" t="inlineStr">
        <is>
          <t>VAGARO</t>
        </is>
      </c>
      <c r="S360" s="23" t="n">
        <v>46211</v>
      </c>
      <c r="T360" s="23" t="n">
        <v>46237</v>
      </c>
      <c r="U360" s="8" t="n">
        <v>38</v>
      </c>
      <c r="V360" s="9" t="n">
        <v>5533.4</v>
      </c>
      <c r="W360" s="8" t="inlineStr">
        <is>
          <t>AzZlEZVOjELZs2ZnJ</t>
        </is>
      </c>
      <c r="X360" s="9" t="n">
        <v>248</v>
      </c>
      <c r="Y360" s="8" t="inlineStr">
        <is>
          <t>active</t>
        </is>
      </c>
      <c r="Z360" s="8" t="inlineStr">
        <is>
          <t>gbp</t>
        </is>
      </c>
    </row>
    <row r="361">
      <c r="A361" s="11" t="inlineStr">
        <is>
          <t>fa47d1bd-f08e-47e4-a07d-9c16f2f3a2df</t>
        </is>
      </c>
      <c r="B361" s="11" t="inlineStr">
        <is>
          <t>African Hair Braiding by Fama</t>
        </is>
      </c>
      <c r="C361" s="24" t="n">
        <v>46210</v>
      </c>
      <c r="D361" s="11" t="inlineStr">
        <is>
          <t>2026-07</t>
        </is>
      </c>
      <c r="E361" s="11" t="b">
        <v>1</v>
      </c>
      <c r="F361" s="11" t="b">
        <v>1</v>
      </c>
      <c r="G361" s="11" t="b">
        <v>1</v>
      </c>
      <c r="H361" s="11" t="b">
        <v>1</v>
      </c>
      <c r="I361" s="11" t="b">
        <v>1</v>
      </c>
      <c r="J361" s="11" t="b">
        <v>1</v>
      </c>
      <c r="K361" s="11" t="b">
        <v>1</v>
      </c>
      <c r="L361" s="11" t="b">
        <v>1</v>
      </c>
      <c r="M361" s="11" t="b">
        <v>1</v>
      </c>
      <c r="N361" s="11" t="b">
        <v>1</v>
      </c>
      <c r="O361" s="11" t="n">
        <v>8</v>
      </c>
      <c r="P361" s="11" t="n">
        <v>8</v>
      </c>
      <c r="Q361" s="11" t="n">
        <v>0</v>
      </c>
      <c r="R361" s="11" t="n"/>
      <c r="S361" s="24" t="n">
        <v>46211</v>
      </c>
      <c r="T361" s="24" t="n">
        <v>46236</v>
      </c>
      <c r="U361" s="11" t="n">
        <v>6</v>
      </c>
      <c r="V361" s="12" t="n">
        <v>287.68</v>
      </c>
      <c r="W361" s="11" t="inlineStr">
        <is>
          <t>AzZL7WVOfxWbuhjd</t>
        </is>
      </c>
      <c r="X361" s="12" t="n">
        <v>300</v>
      </c>
      <c r="Y361" s="11" t="inlineStr">
        <is>
          <t>active</t>
        </is>
      </c>
      <c r="Z361" s="11" t="inlineStr">
        <is>
          <t>gbp</t>
        </is>
      </c>
    </row>
    <row r="362">
      <c r="A362" s="8" t="inlineStr">
        <is>
          <t>2d29763c-8be4-4fbe-907e-d8a8649a7f84</t>
        </is>
      </c>
      <c r="B362" s="8" t="inlineStr">
        <is>
          <t>African hair braiding by fama</t>
        </is>
      </c>
      <c r="C362" s="23" t="n">
        <v>46210</v>
      </c>
      <c r="D362" s="8" t="inlineStr">
        <is>
          <t>2026-07</t>
        </is>
      </c>
      <c r="E362" s="8" t="b">
        <v>1</v>
      </c>
      <c r="F362" s="8" t="b">
        <v>1</v>
      </c>
      <c r="G362" s="8" t="b">
        <v>1</v>
      </c>
      <c r="H362" s="8" t="b">
        <v>1</v>
      </c>
      <c r="I362" s="8" t="b">
        <v>1</v>
      </c>
      <c r="J362" s="8" t="b">
        <v>1</v>
      </c>
      <c r="K362" s="8" t="b">
        <v>1</v>
      </c>
      <c r="L362" s="8" t="b">
        <v>1</v>
      </c>
      <c r="M362" s="8" t="b">
        <v>1</v>
      </c>
      <c r="N362" s="8" t="b">
        <v>1</v>
      </c>
      <c r="O362" s="8" t="n">
        <v>1</v>
      </c>
      <c r="P362" s="8" t="n">
        <v>1</v>
      </c>
      <c r="Q362" s="8" t="n">
        <v>0</v>
      </c>
      <c r="R362" s="8" t="n"/>
      <c r="S362" s="23" t="n">
        <v>46231</v>
      </c>
      <c r="T362" s="23" t="n">
        <v>46231</v>
      </c>
      <c r="U362" s="8" t="n">
        <v>1</v>
      </c>
      <c r="V362" s="9" t="n">
        <v>51.81</v>
      </c>
      <c r="W362" s="8" t="inlineStr">
        <is>
          <t>AzZL7WVOfxWbuhjd</t>
        </is>
      </c>
      <c r="X362" s="9" t="n">
        <v>300</v>
      </c>
      <c r="Y362" s="8" t="inlineStr">
        <is>
          <t>active</t>
        </is>
      </c>
      <c r="Z362" s="8" t="inlineStr">
        <is>
          <t>gbp</t>
        </is>
      </c>
    </row>
    <row r="363">
      <c r="A363" s="11" t="inlineStr">
        <is>
          <t>e55a6eee-f8f6-4d6d-b487-f55152e64da9</t>
        </is>
      </c>
      <c r="B363" s="11" t="inlineStr">
        <is>
          <t>[PROD] ZOCA-SALON</t>
        </is>
      </c>
      <c r="C363" s="24" t="n">
        <v>46211</v>
      </c>
      <c r="D363" s="11" t="inlineStr">
        <is>
          <t>2026-07</t>
        </is>
      </c>
      <c r="E363" s="11" t="b">
        <v>1</v>
      </c>
      <c r="F363" s="11" t="b">
        <v>1</v>
      </c>
      <c r="G363" s="11" t="b">
        <v>1</v>
      </c>
      <c r="H363" s="11" t="b">
        <v>1</v>
      </c>
      <c r="I363" s="11" t="b">
        <v>1</v>
      </c>
      <c r="J363" s="11" t="b">
        <v>0</v>
      </c>
      <c r="K363" s="11" t="b">
        <v>1</v>
      </c>
      <c r="L363" s="11" t="b">
        <v>1</v>
      </c>
      <c r="M363" s="11" t="b">
        <v>1</v>
      </c>
      <c r="N363" s="11" t="b">
        <v>1</v>
      </c>
      <c r="O363" s="11" t="n">
        <v>38</v>
      </c>
      <c r="P363" s="11" t="n">
        <v>38</v>
      </c>
      <c r="Q363" s="11" t="n">
        <v>0</v>
      </c>
      <c r="R363" s="11" t="n"/>
      <c r="S363" s="24" t="n">
        <v>46211</v>
      </c>
      <c r="T363" s="24" t="n">
        <v>46237</v>
      </c>
      <c r="U363" s="11" t="n">
        <v>0</v>
      </c>
      <c r="V363" s="12" t="n">
        <v>0</v>
      </c>
      <c r="W363" s="11" t="inlineStr">
        <is>
          <t>AzZN91VOmjzrM1INg</t>
        </is>
      </c>
      <c r="X363" s="12" t="n"/>
      <c r="Y363" s="11" t="inlineStr">
        <is>
          <t>cancelled</t>
        </is>
      </c>
      <c r="Z363" s="11" t="inlineStr">
        <is>
          <t>gbp</t>
        </is>
      </c>
    </row>
    <row r="364">
      <c r="A364" s="8" t="inlineStr">
        <is>
          <t>ecb5ce1c-f9ef-41e9-9161-35bc5a22d53b</t>
        </is>
      </c>
      <c r="B364" s="8" t="inlineStr">
        <is>
          <t>Saxena spa salon gsisg</t>
        </is>
      </c>
      <c r="C364" s="23" t="n">
        <v>46211</v>
      </c>
      <c r="D364" s="8" t="inlineStr">
        <is>
          <t>2026-07</t>
        </is>
      </c>
      <c r="E364" s="8" t="b">
        <v>1</v>
      </c>
      <c r="F364" s="8" t="b">
        <v>1</v>
      </c>
      <c r="G364" s="8" t="b">
        <v>1</v>
      </c>
      <c r="H364" s="8" t="b">
        <v>1</v>
      </c>
      <c r="I364" s="8" t="b">
        <v>1</v>
      </c>
      <c r="J364" s="8" t="b">
        <v>0</v>
      </c>
      <c r="K364" s="8" t="b">
        <v>1</v>
      </c>
      <c r="L364" s="8" t="b">
        <v>1</v>
      </c>
      <c r="M364" s="8" t="b">
        <v>1</v>
      </c>
      <c r="N364" s="8" t="b">
        <v>1</v>
      </c>
      <c r="O364" s="8" t="n">
        <v>2</v>
      </c>
      <c r="P364" s="8" t="n">
        <v>0</v>
      </c>
      <c r="Q364" s="8" t="n">
        <v>0</v>
      </c>
      <c r="R364" s="8" t="n"/>
      <c r="S364" s="23" t="n">
        <v>46211</v>
      </c>
      <c r="T364" s="23" t="n">
        <v>46213</v>
      </c>
      <c r="U364" s="8" t="n">
        <v>1</v>
      </c>
      <c r="V364" s="9" t="n">
        <v>55.2</v>
      </c>
      <c r="W364" s="8" t="inlineStr">
        <is>
          <t>AzqVOYVOmk3Jz1CXz</t>
        </is>
      </c>
      <c r="X364" s="9" t="n"/>
      <c r="Y364" s="8" t="inlineStr">
        <is>
          <t>cancelled</t>
        </is>
      </c>
      <c r="Z364" s="8" t="inlineStr">
        <is>
          <t>gbp_logs</t>
        </is>
      </c>
    </row>
    <row r="365">
      <c r="A365" s="11" t="inlineStr">
        <is>
          <t>7dd09a2a-011f-4a6e-bee5-3e062198a70d</t>
        </is>
      </c>
      <c r="B365" s="11" t="inlineStr">
        <is>
          <t>Natasha Photography</t>
        </is>
      </c>
      <c r="C365" s="24" t="n">
        <v>46211</v>
      </c>
      <c r="D365" s="11" t="inlineStr">
        <is>
          <t>2026-07</t>
        </is>
      </c>
      <c r="E365" s="11" t="b">
        <v>1</v>
      </c>
      <c r="F365" s="11" t="b">
        <v>1</v>
      </c>
      <c r="G365" s="11" t="b">
        <v>1</v>
      </c>
      <c r="H365" s="11" t="b">
        <v>1</v>
      </c>
      <c r="I365" s="11" t="b">
        <v>1</v>
      </c>
      <c r="J365" s="11" t="b">
        <v>0</v>
      </c>
      <c r="K365" s="11" t="b">
        <v>1</v>
      </c>
      <c r="L365" s="11" t="b">
        <v>1</v>
      </c>
      <c r="M365" s="11" t="b">
        <v>1</v>
      </c>
      <c r="N365" s="11" t="b">
        <v>1</v>
      </c>
      <c r="O365" s="11" t="n">
        <v>2</v>
      </c>
      <c r="P365" s="11" t="n">
        <v>0</v>
      </c>
      <c r="Q365" s="11" t="n">
        <v>0</v>
      </c>
      <c r="R365" s="11" t="n"/>
      <c r="S365" s="24" t="n">
        <v>46216</v>
      </c>
      <c r="T365" s="24" t="n">
        <v>46216</v>
      </c>
      <c r="U365" s="11" t="n">
        <v>2</v>
      </c>
      <c r="V365" s="12" t="n">
        <v>106</v>
      </c>
      <c r="W365" s="11" t="inlineStr">
        <is>
          <t>AzqGqMVOmq20T1M4y</t>
        </is>
      </c>
      <c r="X365" s="12" t="n"/>
      <c r="Y365" s="11" t="inlineStr">
        <is>
          <t>cancelled</t>
        </is>
      </c>
      <c r="Z365" s="11" t="inlineStr">
        <is>
          <t>chargebee_company</t>
        </is>
      </c>
    </row>
    <row r="366">
      <c r="A366" s="8" t="inlineStr">
        <is>
          <t>d9274a48-fc93-434f-99bf-bea1b75638e1</t>
        </is>
      </c>
      <c r="B366" s="8" t="inlineStr">
        <is>
          <t>Skin Radiance</t>
        </is>
      </c>
      <c r="C366" s="23" t="n">
        <v>46211</v>
      </c>
      <c r="D366" s="8" t="inlineStr">
        <is>
          <t>2026-07</t>
        </is>
      </c>
      <c r="E366" s="8" t="b">
        <v>1</v>
      </c>
      <c r="F366" s="8" t="b">
        <v>1</v>
      </c>
      <c r="G366" s="8" t="b">
        <v>1</v>
      </c>
      <c r="H366" s="8" t="b">
        <v>1</v>
      </c>
      <c r="I366" s="8" t="b">
        <v>1</v>
      </c>
      <c r="J366" s="8" t="b">
        <v>1</v>
      </c>
      <c r="K366" s="8" t="b">
        <v>0</v>
      </c>
      <c r="L366" s="8" t="b">
        <v>1</v>
      </c>
      <c r="M366" s="8" t="b">
        <v>1</v>
      </c>
      <c r="N366" s="8" t="b">
        <v>1</v>
      </c>
      <c r="O366" s="8" t="n">
        <v>6</v>
      </c>
      <c r="P366" s="8" t="n">
        <v>6</v>
      </c>
      <c r="Q366" s="8" t="n">
        <v>510</v>
      </c>
      <c r="R366" s="8" t="inlineStr">
        <is>
          <t>ACUITY</t>
        </is>
      </c>
      <c r="S366" s="23" t="n">
        <v>46212</v>
      </c>
      <c r="T366" s="23" t="n">
        <v>46229</v>
      </c>
      <c r="U366" s="8" t="n">
        <v>7</v>
      </c>
      <c r="V366" s="9" t="n">
        <v>621.5</v>
      </c>
      <c r="W366" s="8" t="inlineStr">
        <is>
          <t>16BkZzUtbi2Mo3TJx</t>
        </is>
      </c>
      <c r="X366" s="9" t="n">
        <v>199</v>
      </c>
      <c r="Y366" s="8" t="inlineStr">
        <is>
          <t>active</t>
        </is>
      </c>
      <c r="Z366" s="8" t="inlineStr">
        <is>
          <t>gbp</t>
        </is>
      </c>
    </row>
    <row r="367">
      <c r="A367" s="11" t="inlineStr">
        <is>
          <t>a4fb161a-b0a3-4129-a8b3-5871ea745ae4</t>
        </is>
      </c>
      <c r="B367" s="11" t="inlineStr">
        <is>
          <t>TEDIESLOBRAIDS AND BEAUTY</t>
        </is>
      </c>
      <c r="C367" s="24" t="n">
        <v>46211</v>
      </c>
      <c r="D367" s="11" t="inlineStr">
        <is>
          <t>2026-07</t>
        </is>
      </c>
      <c r="E367" s="11" t="b">
        <v>1</v>
      </c>
      <c r="F367" s="11" t="b">
        <v>0</v>
      </c>
      <c r="G367" s="11" t="b">
        <v>0</v>
      </c>
      <c r="H367" s="11" t="b">
        <v>0</v>
      </c>
      <c r="I367" s="11" t="b">
        <v>0</v>
      </c>
      <c r="J367" s="11" t="b">
        <v>0</v>
      </c>
      <c r="K367" s="11" t="b">
        <v>0</v>
      </c>
      <c r="L367" s="11" t="b">
        <v>0</v>
      </c>
      <c r="M367" s="11" t="b">
        <v>0</v>
      </c>
      <c r="N367" s="11" t="b">
        <v>0</v>
      </c>
      <c r="O367" s="11" t="n">
        <v>0</v>
      </c>
      <c r="P367" s="11" t="n">
        <v>0</v>
      </c>
      <c r="Q367" s="11" t="n">
        <v>0</v>
      </c>
      <c r="R367" s="11" t="n"/>
      <c r="S367" s="24" t="n"/>
      <c r="T367" s="24" t="n"/>
      <c r="U367" s="11" t="n">
        <v>0</v>
      </c>
      <c r="V367" s="12" t="n">
        <v>0</v>
      </c>
      <c r="W367" s="11" t="inlineStr">
        <is>
          <t>AzZSOoVOoAce424YW</t>
        </is>
      </c>
      <c r="X367" s="12" t="n"/>
      <c r="Y367" s="11" t="n"/>
      <c r="Z367" s="11" t="inlineStr">
        <is>
          <t>gbp</t>
        </is>
      </c>
    </row>
    <row r="368">
      <c r="A368" s="8" t="inlineStr">
        <is>
          <t>391479c3-df3c-4632-8669-0e8865d6f221</t>
        </is>
      </c>
      <c r="B368" s="8" t="inlineStr">
        <is>
          <t>Exquisite Beauty Hair Replacement Center</t>
        </is>
      </c>
      <c r="C368" s="23" t="n">
        <v>46211</v>
      </c>
      <c r="D368" s="8" t="inlineStr">
        <is>
          <t>2026-07</t>
        </is>
      </c>
      <c r="E368" s="8" t="b">
        <v>1</v>
      </c>
      <c r="F368" s="8" t="b">
        <v>1</v>
      </c>
      <c r="G368" s="8" t="b">
        <v>0</v>
      </c>
      <c r="H368" s="8" t="b">
        <v>0</v>
      </c>
      <c r="I368" s="8" t="b">
        <v>0</v>
      </c>
      <c r="J368" s="8" t="b">
        <v>0</v>
      </c>
      <c r="K368" s="8" t="b">
        <v>0</v>
      </c>
      <c r="L368" s="8" t="b">
        <v>0</v>
      </c>
      <c r="M368" s="8" t="b">
        <v>0</v>
      </c>
      <c r="N368" s="8" t="b">
        <v>0</v>
      </c>
      <c r="O368" s="8" t="n">
        <v>0</v>
      </c>
      <c r="P368" s="8" t="n">
        <v>0</v>
      </c>
      <c r="Q368" s="8" t="n">
        <v>0</v>
      </c>
      <c r="R368" s="8" t="n"/>
      <c r="S368" s="23" t="n"/>
      <c r="T368" s="23" t="n"/>
      <c r="U368" s="8" t="n">
        <v>0</v>
      </c>
      <c r="V368" s="9" t="n">
        <v>0</v>
      </c>
      <c r="W368" s="8" t="inlineStr">
        <is>
          <t>cus_RKjeEUkTjpFN91</t>
        </is>
      </c>
      <c r="X368" s="9" t="n">
        <v>150</v>
      </c>
      <c r="Y368" s="8" t="inlineStr">
        <is>
          <t>active</t>
        </is>
      </c>
      <c r="Z368" s="8" t="inlineStr">
        <is>
          <t>gbp</t>
        </is>
      </c>
    </row>
    <row r="369">
      <c r="A369" s="11" t="inlineStr">
        <is>
          <t>22ce5f0c-68ba-4b0b-a651-690075c4d116</t>
        </is>
      </c>
      <c r="B369" s="11" t="inlineStr">
        <is>
          <t>Essenz Of India</t>
        </is>
      </c>
      <c r="C369" s="24" t="n">
        <v>46211</v>
      </c>
      <c r="D369" s="11" t="inlineStr">
        <is>
          <t>2026-07</t>
        </is>
      </c>
      <c r="E369" s="11" t="b">
        <v>1</v>
      </c>
      <c r="F369" s="11" t="b">
        <v>1</v>
      </c>
      <c r="G369" s="11" t="b">
        <v>1</v>
      </c>
      <c r="H369" s="11" t="b">
        <v>1</v>
      </c>
      <c r="I369" s="11" t="b">
        <v>1</v>
      </c>
      <c r="J369" s="11" t="b">
        <v>0</v>
      </c>
      <c r="K369" s="11" t="b">
        <v>1</v>
      </c>
      <c r="L369" s="11" t="b">
        <v>1</v>
      </c>
      <c r="M369" s="11" t="b">
        <v>1</v>
      </c>
      <c r="N369" s="11" t="b">
        <v>1</v>
      </c>
      <c r="O369" s="11" t="n">
        <v>13</v>
      </c>
      <c r="P369" s="11" t="n">
        <v>11</v>
      </c>
      <c r="Q369" s="11" t="n">
        <v>0</v>
      </c>
      <c r="R369" s="11" t="n"/>
      <c r="S369" s="24" t="n">
        <v>46211</v>
      </c>
      <c r="T369" s="24" t="n">
        <v>46236</v>
      </c>
      <c r="U369" s="11" t="n">
        <v>2</v>
      </c>
      <c r="V369" s="12" t="n">
        <v>95</v>
      </c>
      <c r="W369" s="11" t="inlineStr">
        <is>
          <t>Azyd1CUmc9lUV4Ymn</t>
        </is>
      </c>
      <c r="X369" s="12" t="n">
        <v>399</v>
      </c>
      <c r="Y369" s="11" t="inlineStr">
        <is>
          <t>active</t>
        </is>
      </c>
      <c r="Z369" s="11" t="inlineStr">
        <is>
          <t>gbp</t>
        </is>
      </c>
    </row>
    <row r="370">
      <c r="A370" s="8" t="inlineStr">
        <is>
          <t>ce187d17-57fb-4a4b-8a2c-f6f6dc602ae1</t>
        </is>
      </c>
      <c r="B370" s="8" t="inlineStr">
        <is>
          <t>SandraGuz Frizz Specialist Dominican Mobile Salon</t>
        </is>
      </c>
      <c r="C370" s="23" t="n">
        <v>46212</v>
      </c>
      <c r="D370" s="8" t="inlineStr">
        <is>
          <t>2026-07</t>
        </is>
      </c>
      <c r="E370" s="8" t="b">
        <v>1</v>
      </c>
      <c r="F370" s="8" t="b">
        <v>1</v>
      </c>
      <c r="G370" s="8" t="b">
        <v>1</v>
      </c>
      <c r="H370" s="8" t="b">
        <v>1</v>
      </c>
      <c r="I370" s="8" t="b">
        <v>1</v>
      </c>
      <c r="J370" s="8" t="b">
        <v>1</v>
      </c>
      <c r="K370" s="8" t="b">
        <v>0</v>
      </c>
      <c r="L370" s="8" t="b">
        <v>1</v>
      </c>
      <c r="M370" s="8" t="b">
        <v>1</v>
      </c>
      <c r="N370" s="8" t="b">
        <v>1</v>
      </c>
      <c r="O370" s="8" t="n">
        <v>23</v>
      </c>
      <c r="P370" s="8" t="n">
        <v>0</v>
      </c>
      <c r="Q370" s="8" t="n">
        <v>0</v>
      </c>
      <c r="R370" s="8" t="n"/>
      <c r="S370" s="23" t="n">
        <v>46212</v>
      </c>
      <c r="T370" s="23" t="n">
        <v>46220</v>
      </c>
      <c r="U370" s="8" t="n">
        <v>1</v>
      </c>
      <c r="V370" s="9" t="n">
        <v>85</v>
      </c>
      <c r="W370" s="8" t="inlineStr">
        <is>
          <t>Azz2RoUv15Lll3PzG</t>
        </is>
      </c>
      <c r="X370" s="9" t="n">
        <v>199</v>
      </c>
      <c r="Y370" s="8" t="inlineStr">
        <is>
          <t>active</t>
        </is>
      </c>
      <c r="Z370" s="8" t="inlineStr">
        <is>
          <t>gbp</t>
        </is>
      </c>
    </row>
    <row r="371">
      <c r="A371" s="11" t="inlineStr">
        <is>
          <t>699c9595-9e54-496b-a099-fce5a77b36f4</t>
        </is>
      </c>
      <c r="B371" s="11" t="inlineStr">
        <is>
          <t>Laser Skin &amp; Wellness Center</t>
        </is>
      </c>
      <c r="C371" s="24" t="n">
        <v>46212</v>
      </c>
      <c r="D371" s="11" t="inlineStr">
        <is>
          <t>2026-07</t>
        </is>
      </c>
      <c r="E371" s="11" t="b">
        <v>1</v>
      </c>
      <c r="F371" s="11" t="b">
        <v>0</v>
      </c>
      <c r="G371" s="11" t="b">
        <v>0</v>
      </c>
      <c r="H371" s="11" t="b">
        <v>0</v>
      </c>
      <c r="I371" s="11" t="b">
        <v>0</v>
      </c>
      <c r="J371" s="11" t="b">
        <v>0</v>
      </c>
      <c r="K371" s="11" t="b">
        <v>0</v>
      </c>
      <c r="L371" s="11" t="b">
        <v>0</v>
      </c>
      <c r="M371" s="11" t="b">
        <v>0</v>
      </c>
      <c r="N371" s="11" t="b">
        <v>0</v>
      </c>
      <c r="O371" s="11" t="n">
        <v>0</v>
      </c>
      <c r="P371" s="11" t="n">
        <v>0</v>
      </c>
      <c r="Q371" s="11" t="n">
        <v>0</v>
      </c>
      <c r="R371" s="11" t="n"/>
      <c r="S371" s="24" t="n"/>
      <c r="T371" s="24" t="n"/>
      <c r="U371" s="11" t="n">
        <v>0</v>
      </c>
      <c r="V371" s="12" t="n">
        <v>0</v>
      </c>
      <c r="W371" s="11" t="inlineStr">
        <is>
          <t>AzZYy7V8mfD613q7</t>
        </is>
      </c>
      <c r="X371" s="12" t="n">
        <v>250</v>
      </c>
      <c r="Y371" s="11" t="inlineStr">
        <is>
          <t>active</t>
        </is>
      </c>
      <c r="Z371" s="11" t="inlineStr">
        <is>
          <t>gbp</t>
        </is>
      </c>
    </row>
    <row r="372">
      <c r="A372" s="8" t="inlineStr">
        <is>
          <t>adb6e989-1ad7-4802-8f38-66de6d5194ed</t>
        </is>
      </c>
      <c r="B372" s="8" t="inlineStr">
        <is>
          <t>Bhumi’s Salon | Waxing, Threading, Facial</t>
        </is>
      </c>
      <c r="C372" s="23" t="n">
        <v>46212</v>
      </c>
      <c r="D372" s="8" t="inlineStr">
        <is>
          <t>2026-07</t>
        </is>
      </c>
      <c r="E372" s="8" t="b">
        <v>1</v>
      </c>
      <c r="F372" s="8" t="b">
        <v>1</v>
      </c>
      <c r="G372" s="8" t="b">
        <v>1</v>
      </c>
      <c r="H372" s="8" t="b">
        <v>1</v>
      </c>
      <c r="I372" s="8" t="b">
        <v>1</v>
      </c>
      <c r="J372" s="8" t="b">
        <v>1</v>
      </c>
      <c r="K372" s="8" t="b">
        <v>0</v>
      </c>
      <c r="L372" s="8" t="b">
        <v>1</v>
      </c>
      <c r="M372" s="8" t="b">
        <v>1</v>
      </c>
      <c r="N372" s="8" t="b">
        <v>1</v>
      </c>
      <c r="O372" s="8" t="n">
        <v>7</v>
      </c>
      <c r="P372" s="8" t="n">
        <v>0</v>
      </c>
      <c r="Q372" s="8" t="n">
        <v>0</v>
      </c>
      <c r="R372" s="8" t="n"/>
      <c r="S372" s="23" t="n">
        <v>46218</v>
      </c>
      <c r="T372" s="23" t="n">
        <v>46235</v>
      </c>
      <c r="U372" s="8" t="n">
        <v>2</v>
      </c>
      <c r="V372" s="9" t="n">
        <v>125</v>
      </c>
      <c r="W372" s="8" t="inlineStr">
        <is>
          <t>AzqKC6UjtTdUy7rrQ</t>
        </is>
      </c>
      <c r="X372" s="9" t="n">
        <v>179</v>
      </c>
      <c r="Y372" s="8" t="inlineStr">
        <is>
          <t>active</t>
        </is>
      </c>
      <c r="Z372" s="8" t="inlineStr">
        <is>
          <t>gbp</t>
        </is>
      </c>
    </row>
    <row r="373">
      <c r="A373" s="11" t="inlineStr">
        <is>
          <t>ac644144-c426-4500-bdf7-fa56bb2bf5dc</t>
        </is>
      </c>
      <c r="B373" s="11" t="inlineStr">
        <is>
          <t>Goscalp Scalp Micropigmentation Hair Loss &amp; Laser Tattoo Removal Center</t>
        </is>
      </c>
      <c r="C373" s="24" t="n">
        <v>46212</v>
      </c>
      <c r="D373" s="11" t="inlineStr">
        <is>
          <t>2026-07</t>
        </is>
      </c>
      <c r="E373" s="11" t="b">
        <v>1</v>
      </c>
      <c r="F373" s="11" t="b">
        <v>1</v>
      </c>
      <c r="G373" s="11" t="b">
        <v>1</v>
      </c>
      <c r="H373" s="11" t="b">
        <v>1</v>
      </c>
      <c r="I373" s="11" t="b">
        <v>1</v>
      </c>
      <c r="J373" s="11" t="b">
        <v>1</v>
      </c>
      <c r="K373" s="11" t="b">
        <v>0</v>
      </c>
      <c r="L373" s="11" t="b">
        <v>1</v>
      </c>
      <c r="M373" s="11" t="b">
        <v>1</v>
      </c>
      <c r="N373" s="11" t="b">
        <v>1</v>
      </c>
      <c r="O373" s="11" t="n">
        <v>0</v>
      </c>
      <c r="P373" s="11" t="n">
        <v>0</v>
      </c>
      <c r="Q373" s="11" t="n">
        <v>0</v>
      </c>
      <c r="R373" s="11" t="n"/>
      <c r="S373" s="24" t="n"/>
      <c r="T373" s="24" t="n"/>
      <c r="U373" s="11" t="n">
        <v>0</v>
      </c>
      <c r="V373" s="12" t="n">
        <v>0</v>
      </c>
      <c r="W373" s="11" t="inlineStr">
        <is>
          <t>cus_QCfiuv2me3nMBk</t>
        </is>
      </c>
      <c r="X373" s="12" t="n">
        <v>250</v>
      </c>
      <c r="Y373" s="11" t="inlineStr">
        <is>
          <t>cancelled</t>
        </is>
      </c>
      <c r="Z373" s="11" t="inlineStr">
        <is>
          <t>gbp</t>
        </is>
      </c>
    </row>
    <row r="374">
      <c r="A374" s="8" t="inlineStr">
        <is>
          <t>f6b76db6-20cd-4ff4-834b-a4f38954f3b4</t>
        </is>
      </c>
      <c r="B374" s="8" t="inlineStr">
        <is>
          <t>Rama Nail Makeover</t>
        </is>
      </c>
      <c r="C374" s="23" t="n">
        <v>46213</v>
      </c>
      <c r="D374" s="8" t="inlineStr">
        <is>
          <t>2026-07</t>
        </is>
      </c>
      <c r="E374" s="8" t="b">
        <v>1</v>
      </c>
      <c r="F374" s="8" t="b">
        <v>1</v>
      </c>
      <c r="G374" s="8" t="b">
        <v>1</v>
      </c>
      <c r="H374" s="8" t="b">
        <v>1</v>
      </c>
      <c r="I374" s="8" t="b">
        <v>1</v>
      </c>
      <c r="J374" s="8" t="b">
        <v>0</v>
      </c>
      <c r="K374" s="8" t="b">
        <v>1</v>
      </c>
      <c r="L374" s="8" t="b">
        <v>1</v>
      </c>
      <c r="M374" s="8" t="b">
        <v>1</v>
      </c>
      <c r="N374" s="8" t="b">
        <v>1</v>
      </c>
      <c r="O374" s="8" t="n">
        <v>0</v>
      </c>
      <c r="P374" s="8" t="n">
        <v>0</v>
      </c>
      <c r="Q374" s="8" t="n">
        <v>0</v>
      </c>
      <c r="R374" s="8" t="n"/>
      <c r="S374" s="23" t="n"/>
      <c r="T374" s="23" t="n"/>
      <c r="U374" s="8" t="n">
        <v>0</v>
      </c>
      <c r="V374" s="9" t="n">
        <v>0</v>
      </c>
      <c r="W374" s="8" t="inlineStr">
        <is>
          <t>AzZlEZVOjwVeY2vys</t>
        </is>
      </c>
      <c r="X374" s="9" t="n"/>
      <c r="Y374" s="8" t="n"/>
      <c r="Z374" s="8" t="inlineStr">
        <is>
          <t>gbp</t>
        </is>
      </c>
    </row>
    <row r="375">
      <c r="A375" s="11" t="inlineStr">
        <is>
          <t>4055b6f4-353c-4600-98f7-c6cb3c8caf93</t>
        </is>
      </c>
      <c r="B375" s="11" t="inlineStr">
        <is>
          <t>Gauri Khan Threading</t>
        </is>
      </c>
      <c r="C375" s="24" t="n">
        <v>46213</v>
      </c>
      <c r="D375" s="11" t="inlineStr">
        <is>
          <t>2026-07</t>
        </is>
      </c>
      <c r="E375" s="11" t="b">
        <v>1</v>
      </c>
      <c r="F375" s="11" t="b">
        <v>1</v>
      </c>
      <c r="G375" s="11" t="b">
        <v>1</v>
      </c>
      <c r="H375" s="11" t="b">
        <v>1</v>
      </c>
      <c r="I375" s="11" t="b">
        <v>1</v>
      </c>
      <c r="J375" s="11" t="b">
        <v>0</v>
      </c>
      <c r="K375" s="11" t="b">
        <v>1</v>
      </c>
      <c r="L375" s="11" t="b">
        <v>1</v>
      </c>
      <c r="M375" s="11" t="b">
        <v>1</v>
      </c>
      <c r="N375" s="11" t="b">
        <v>1</v>
      </c>
      <c r="O375" s="11" t="n">
        <v>0</v>
      </c>
      <c r="P375" s="11" t="n">
        <v>0</v>
      </c>
      <c r="Q375" s="11" t="n">
        <v>0</v>
      </c>
      <c r="R375" s="11" t="n"/>
      <c r="S375" s="24" t="n"/>
      <c r="T375" s="24" t="n"/>
      <c r="U375" s="11" t="n">
        <v>0</v>
      </c>
      <c r="V375" s="12" t="n">
        <v>0</v>
      </c>
      <c r="W375" s="11" t="inlineStr">
        <is>
          <t>16BhnkVOyoVQA1N8V</t>
        </is>
      </c>
      <c r="X375" s="12" t="n"/>
      <c r="Y375" s="11" t="n"/>
      <c r="Z375" s="11" t="inlineStr">
        <is>
          <t>gbp</t>
        </is>
      </c>
    </row>
    <row r="376">
      <c r="A376" s="8" t="inlineStr">
        <is>
          <t>58041f3a-6a0a-43d7-87bb-4bd89285a513</t>
        </is>
      </c>
      <c r="B376" s="8" t="inlineStr">
        <is>
          <t>All About Beauty at Westchase</t>
        </is>
      </c>
      <c r="C376" s="23" t="n">
        <v>46213</v>
      </c>
      <c r="D376" s="8" t="inlineStr">
        <is>
          <t>2026-07</t>
        </is>
      </c>
      <c r="E376" s="8" t="b">
        <v>1</v>
      </c>
      <c r="F376" s="8" t="b">
        <v>1</v>
      </c>
      <c r="G376" s="8" t="b">
        <v>1</v>
      </c>
      <c r="H376" s="8" t="b">
        <v>1</v>
      </c>
      <c r="I376" s="8" t="b">
        <v>1</v>
      </c>
      <c r="J376" s="8" t="b">
        <v>0</v>
      </c>
      <c r="K376" s="8" t="b">
        <v>1</v>
      </c>
      <c r="L376" s="8" t="b">
        <v>1</v>
      </c>
      <c r="M376" s="8" t="b">
        <v>1</v>
      </c>
      <c r="N376" s="8" t="b">
        <v>1</v>
      </c>
      <c r="O376" s="8" t="n">
        <v>6</v>
      </c>
      <c r="P376" s="8" t="n">
        <v>0</v>
      </c>
      <c r="Q376" s="8" t="n">
        <v>0</v>
      </c>
      <c r="R376" s="8" t="n"/>
      <c r="S376" s="23" t="n">
        <v>46213</v>
      </c>
      <c r="T376" s="23" t="n">
        <v>46213</v>
      </c>
      <c r="U376" s="8" t="n">
        <v>0</v>
      </c>
      <c r="V376" s="9" t="n">
        <v>0</v>
      </c>
      <c r="W376" s="8" t="inlineStr">
        <is>
          <t>Azqch5V18kbA5bqW</t>
        </is>
      </c>
      <c r="X376" s="9" t="n">
        <v>199</v>
      </c>
      <c r="Y376" s="8" t="inlineStr">
        <is>
          <t>active</t>
        </is>
      </c>
      <c r="Z376" s="8" t="inlineStr">
        <is>
          <t>gbp</t>
        </is>
      </c>
    </row>
    <row r="377">
      <c r="A377" s="11" t="inlineStr">
        <is>
          <t>76583b51-878e-4071-a9ff-139d3fa2bbd7</t>
        </is>
      </c>
      <c r="B377" s="11" t="inlineStr">
        <is>
          <t>Saxena spa salon gsisg</t>
        </is>
      </c>
      <c r="C377" s="24" t="n">
        <v>46216</v>
      </c>
      <c r="D377" s="11" t="inlineStr">
        <is>
          <t>2026-07</t>
        </is>
      </c>
      <c r="E377" s="11" t="b">
        <v>1</v>
      </c>
      <c r="F377" s="11" t="b">
        <v>1</v>
      </c>
      <c r="G377" s="11" t="b">
        <v>1</v>
      </c>
      <c r="H377" s="11" t="b">
        <v>1</v>
      </c>
      <c r="I377" s="11" t="b">
        <v>1</v>
      </c>
      <c r="J377" s="11" t="b">
        <v>0</v>
      </c>
      <c r="K377" s="11" t="b">
        <v>1</v>
      </c>
      <c r="L377" s="11" t="b">
        <v>1</v>
      </c>
      <c r="M377" s="11" t="b">
        <v>1</v>
      </c>
      <c r="N377" s="11" t="b">
        <v>1</v>
      </c>
      <c r="O377" s="11" t="n">
        <v>2</v>
      </c>
      <c r="P377" s="11" t="n">
        <v>1</v>
      </c>
      <c r="Q377" s="11" t="n">
        <v>0</v>
      </c>
      <c r="R377" s="11" t="n"/>
      <c r="S377" s="24" t="n">
        <v>46216</v>
      </c>
      <c r="T377" s="24" t="n">
        <v>46216</v>
      </c>
      <c r="U377" s="11" t="n">
        <v>1</v>
      </c>
      <c r="V377" s="12" t="n">
        <v>28</v>
      </c>
      <c r="W377" s="11" t="n"/>
      <c r="X377" s="12" t="n"/>
      <c r="Y377" s="11" t="n"/>
      <c r="Z377" s="11" t="inlineStr">
        <is>
          <t>gbp_logs</t>
        </is>
      </c>
    </row>
    <row r="378">
      <c r="A378" s="8" t="inlineStr">
        <is>
          <t>139852b2-05f8-411f-9c4d-6859e85a6044</t>
        </is>
      </c>
      <c r="B378" s="8" t="inlineStr">
        <is>
          <t>Natasha servcice centre</t>
        </is>
      </c>
      <c r="C378" s="23" t="n">
        <v>46216</v>
      </c>
      <c r="D378" s="8" t="inlineStr">
        <is>
          <t>2026-07</t>
        </is>
      </c>
      <c r="E378" s="8" t="b">
        <v>1</v>
      </c>
      <c r="F378" s="8" t="b">
        <v>1</v>
      </c>
      <c r="G378" s="8" t="b">
        <v>1</v>
      </c>
      <c r="H378" s="8" t="b">
        <v>1</v>
      </c>
      <c r="I378" s="8" t="b">
        <v>1</v>
      </c>
      <c r="J378" s="8" t="b">
        <v>0</v>
      </c>
      <c r="K378" s="8" t="b">
        <v>1</v>
      </c>
      <c r="L378" s="8" t="b">
        <v>1</v>
      </c>
      <c r="M378" s="8" t="b">
        <v>1</v>
      </c>
      <c r="N378" s="8" t="b">
        <v>1</v>
      </c>
      <c r="O378" s="8" t="n">
        <v>1</v>
      </c>
      <c r="P378" s="8" t="n">
        <v>1</v>
      </c>
      <c r="Q378" s="8" t="n">
        <v>0</v>
      </c>
      <c r="R378" s="8" t="n"/>
      <c r="S378" s="23" t="n">
        <v>46216</v>
      </c>
      <c r="T378" s="23" t="n">
        <v>46216</v>
      </c>
      <c r="U378" s="8" t="n">
        <v>0</v>
      </c>
      <c r="V378" s="9" t="n">
        <v>0</v>
      </c>
      <c r="W378" s="8" t="inlineStr">
        <is>
          <t>AzqPveVPFXXFDgjD</t>
        </is>
      </c>
      <c r="X378" s="9" t="n"/>
      <c r="Y378" s="8" t="n"/>
      <c r="Z378" s="8" t="inlineStr">
        <is>
          <t>chargebee_company</t>
        </is>
      </c>
    </row>
    <row r="379">
      <c r="A379" s="11" t="inlineStr">
        <is>
          <t>ca1b4297-ef5a-4473-a033-3892af2f38c9</t>
        </is>
      </c>
      <c r="B379" s="11" t="inlineStr">
        <is>
          <t>Saxena spa salon gsisg</t>
        </is>
      </c>
      <c r="C379" s="24" t="n">
        <v>46216</v>
      </c>
      <c r="D379" s="11" t="inlineStr">
        <is>
          <t>2026-07</t>
        </is>
      </c>
      <c r="E379" s="11" t="b">
        <v>1</v>
      </c>
      <c r="F379" s="11" t="b">
        <v>1</v>
      </c>
      <c r="G379" s="11" t="b">
        <v>1</v>
      </c>
      <c r="H379" s="11" t="b">
        <v>1</v>
      </c>
      <c r="I379" s="11" t="b">
        <v>1</v>
      </c>
      <c r="J379" s="11" t="b">
        <v>0</v>
      </c>
      <c r="K379" s="11" t="b">
        <v>1</v>
      </c>
      <c r="L379" s="11" t="b">
        <v>1</v>
      </c>
      <c r="M379" s="11" t="b">
        <v>1</v>
      </c>
      <c r="N379" s="11" t="b">
        <v>1</v>
      </c>
      <c r="O379" s="11" t="n">
        <v>0</v>
      </c>
      <c r="P379" s="11" t="n">
        <v>0</v>
      </c>
      <c r="Q379" s="11" t="n">
        <v>0</v>
      </c>
      <c r="R379" s="11" t="n"/>
      <c r="S379" s="24" t="n"/>
      <c r="T379" s="24" t="n"/>
      <c r="U379" s="11" t="n">
        <v>0</v>
      </c>
      <c r="V379" s="12" t="n">
        <v>0</v>
      </c>
      <c r="W379" s="11" t="inlineStr">
        <is>
          <t>AzZpUgVPGNp5d1Fel</t>
        </is>
      </c>
      <c r="X379" s="12" t="n"/>
      <c r="Y379" s="11" t="n"/>
      <c r="Z379" s="11" t="inlineStr">
        <is>
          <t>chargebee_company</t>
        </is>
      </c>
    </row>
    <row r="380">
      <c r="A380" s="8" t="inlineStr">
        <is>
          <t>3173313c-739a-4217-b6c3-55b251ae9339</t>
        </is>
      </c>
      <c r="B380" s="8" t="inlineStr">
        <is>
          <t>Saxena spa salon gsisg</t>
        </is>
      </c>
      <c r="C380" s="23" t="n">
        <v>46216</v>
      </c>
      <c r="D380" s="8" t="inlineStr">
        <is>
          <t>2026-07</t>
        </is>
      </c>
      <c r="E380" s="8" t="b">
        <v>1</v>
      </c>
      <c r="F380" s="8" t="b">
        <v>1</v>
      </c>
      <c r="G380" s="8" t="b">
        <v>1</v>
      </c>
      <c r="H380" s="8" t="b">
        <v>1</v>
      </c>
      <c r="I380" s="8" t="b">
        <v>1</v>
      </c>
      <c r="J380" s="8" t="b">
        <v>0</v>
      </c>
      <c r="K380" s="8" t="b">
        <v>1</v>
      </c>
      <c r="L380" s="8" t="b">
        <v>1</v>
      </c>
      <c r="M380" s="8" t="b">
        <v>1</v>
      </c>
      <c r="N380" s="8" t="b">
        <v>1</v>
      </c>
      <c r="O380" s="8" t="n">
        <v>0</v>
      </c>
      <c r="P380" s="8" t="n">
        <v>0</v>
      </c>
      <c r="Q380" s="8" t="n">
        <v>0</v>
      </c>
      <c r="R380" s="8" t="n"/>
      <c r="S380" s="23" t="n"/>
      <c r="T380" s="23" t="n"/>
      <c r="U380" s="8" t="n">
        <v>0</v>
      </c>
      <c r="V380" s="9" t="n">
        <v>0</v>
      </c>
      <c r="W380" s="8" t="inlineStr">
        <is>
          <t>169w9uVPGT6p71Ico</t>
        </is>
      </c>
      <c r="X380" s="9" t="n"/>
      <c r="Y380" s="8" t="n"/>
      <c r="Z380" s="8" t="inlineStr">
        <is>
          <t>chargebee_company</t>
        </is>
      </c>
    </row>
    <row r="381">
      <c r="A381" s="11" t="inlineStr">
        <is>
          <t>7f925f16-8979-4901-b13e-d09f26888433</t>
        </is>
      </c>
      <c r="B381" s="11" t="inlineStr">
        <is>
          <t>Natasha Photography</t>
        </is>
      </c>
      <c r="C381" s="24" t="n">
        <v>46216</v>
      </c>
      <c r="D381" s="11" t="inlineStr">
        <is>
          <t>2026-07</t>
        </is>
      </c>
      <c r="E381" s="11" t="b">
        <v>1</v>
      </c>
      <c r="F381" s="11" t="b">
        <v>1</v>
      </c>
      <c r="G381" s="11" t="b">
        <v>1</v>
      </c>
      <c r="H381" s="11" t="b">
        <v>1</v>
      </c>
      <c r="I381" s="11" t="b">
        <v>1</v>
      </c>
      <c r="J381" s="11" t="b">
        <v>0</v>
      </c>
      <c r="K381" s="11" t="b">
        <v>1</v>
      </c>
      <c r="L381" s="11" t="b">
        <v>1</v>
      </c>
      <c r="M381" s="11" t="b">
        <v>1</v>
      </c>
      <c r="N381" s="11" t="b">
        <v>1</v>
      </c>
      <c r="O381" s="11" t="n">
        <v>0</v>
      </c>
      <c r="P381" s="11" t="n">
        <v>0</v>
      </c>
      <c r="Q381" s="11" t="n">
        <v>0</v>
      </c>
      <c r="R381" s="11" t="n"/>
      <c r="S381" s="24" t="n"/>
      <c r="T381" s="24" t="n"/>
      <c r="U381" s="11" t="n">
        <v>0</v>
      </c>
      <c r="V381" s="12" t="n">
        <v>0</v>
      </c>
      <c r="W381" s="11" t="inlineStr">
        <is>
          <t>169kXkVPGUXuP1DvD</t>
        </is>
      </c>
      <c r="X381" s="12" t="n"/>
      <c r="Y381" s="11" t="n"/>
      <c r="Z381" s="11" t="inlineStr">
        <is>
          <t>chargebee_company</t>
        </is>
      </c>
    </row>
    <row r="382">
      <c r="A382" s="8" t="inlineStr">
        <is>
          <t>985d437f-90e6-4b9f-9b7d-62cb8c1131f7</t>
        </is>
      </c>
      <c r="B382" s="8" t="inlineStr">
        <is>
          <t>Fordham Lash NYC</t>
        </is>
      </c>
      <c r="C382" s="23" t="n">
        <v>46216</v>
      </c>
      <c r="D382" s="8" t="inlineStr">
        <is>
          <t>2026-07</t>
        </is>
      </c>
      <c r="E382" s="8" t="b">
        <v>1</v>
      </c>
      <c r="F382" s="8" t="b">
        <v>1</v>
      </c>
      <c r="G382" s="8" t="b">
        <v>1</v>
      </c>
      <c r="H382" s="8" t="b">
        <v>1</v>
      </c>
      <c r="I382" s="8" t="b">
        <v>1</v>
      </c>
      <c r="J382" s="8" t="b">
        <v>1</v>
      </c>
      <c r="K382" s="8" t="b">
        <v>0</v>
      </c>
      <c r="L382" s="8" t="b">
        <v>1</v>
      </c>
      <c r="M382" s="8" t="b">
        <v>1</v>
      </c>
      <c r="N382" s="8" t="b">
        <v>1</v>
      </c>
      <c r="O382" s="8" t="n">
        <v>80</v>
      </c>
      <c r="P382" s="8" t="n">
        <v>23</v>
      </c>
      <c r="Q382" s="8" t="n">
        <v>1158</v>
      </c>
      <c r="R382" s="8" t="inlineStr">
        <is>
          <t>SETMORE</t>
        </is>
      </c>
      <c r="S382" s="23" t="n">
        <v>46216</v>
      </c>
      <c r="T382" s="23" t="n">
        <v>46237</v>
      </c>
      <c r="U382" s="8" t="n">
        <v>31</v>
      </c>
      <c r="V382" s="9" t="n">
        <v>850</v>
      </c>
      <c r="W382" s="8" t="inlineStr">
        <is>
          <t>16BVVTV37JaWMMyro</t>
        </is>
      </c>
      <c r="X382" s="9" t="n">
        <v>299</v>
      </c>
      <c r="Y382" s="8" t="inlineStr">
        <is>
          <t>active</t>
        </is>
      </c>
      <c r="Z382" s="8" t="inlineStr">
        <is>
          <t>gbp</t>
        </is>
      </c>
    </row>
    <row r="383">
      <c r="A383" s="11" t="inlineStr">
        <is>
          <t>63ea2961-6f67-4680-bb27-33e82ba22646</t>
        </is>
      </c>
      <c r="B383" s="11" t="inlineStr">
        <is>
          <t>Magic Touch Electrolysis &amp; Skin Care</t>
        </is>
      </c>
      <c r="C383" s="24" t="n">
        <v>46216</v>
      </c>
      <c r="D383" s="11" t="inlineStr">
        <is>
          <t>2026-07</t>
        </is>
      </c>
      <c r="E383" s="11" t="b">
        <v>1</v>
      </c>
      <c r="F383" s="11" t="b">
        <v>1</v>
      </c>
      <c r="G383" s="11" t="b">
        <v>1</v>
      </c>
      <c r="H383" s="11" t="b">
        <v>1</v>
      </c>
      <c r="I383" s="11" t="b">
        <v>1</v>
      </c>
      <c r="J383" s="11" t="b">
        <v>0</v>
      </c>
      <c r="K383" s="11" t="b">
        <v>1</v>
      </c>
      <c r="L383" s="11" t="b">
        <v>1</v>
      </c>
      <c r="M383" s="11" t="b">
        <v>1</v>
      </c>
      <c r="N383" s="11" t="b">
        <v>1</v>
      </c>
      <c r="O383" s="11" t="n">
        <v>2</v>
      </c>
      <c r="P383" s="11" t="n">
        <v>2</v>
      </c>
      <c r="Q383" s="11" t="n">
        <v>0</v>
      </c>
      <c r="R383" s="11" t="n"/>
      <c r="S383" s="24" t="n">
        <v>46217</v>
      </c>
      <c r="T383" s="24" t="n">
        <v>46219</v>
      </c>
      <c r="U383" s="11" t="n">
        <v>0</v>
      </c>
      <c r="V383" s="12" t="n">
        <v>0</v>
      </c>
      <c r="W383" s="11" t="inlineStr">
        <is>
          <t>AzZw9ZUm3gQhu5oZH</t>
        </is>
      </c>
      <c r="X383" s="12" t="n">
        <v>179</v>
      </c>
      <c r="Y383" s="11" t="inlineStr">
        <is>
          <t>active</t>
        </is>
      </c>
      <c r="Z383" s="11" t="inlineStr">
        <is>
          <t>gbp</t>
        </is>
      </c>
    </row>
    <row r="384">
      <c r="A384" s="8" t="inlineStr">
        <is>
          <t>68c5960d-4f19-407a-95a4-f59ab76b7057</t>
        </is>
      </c>
      <c r="B384" s="8" t="inlineStr">
        <is>
          <t>Natasha Braids</t>
        </is>
      </c>
      <c r="C384" s="23" t="n">
        <v>46217</v>
      </c>
      <c r="D384" s="8" t="inlineStr">
        <is>
          <t>2026-07</t>
        </is>
      </c>
      <c r="E384" s="8" t="b">
        <v>1</v>
      </c>
      <c r="F384" s="8" t="b">
        <v>1</v>
      </c>
      <c r="G384" s="8" t="b">
        <v>1</v>
      </c>
      <c r="H384" s="8" t="b">
        <v>1</v>
      </c>
      <c r="I384" s="8" t="b">
        <v>1</v>
      </c>
      <c r="J384" s="8" t="b">
        <v>0</v>
      </c>
      <c r="K384" s="8" t="b">
        <v>1</v>
      </c>
      <c r="L384" s="8" t="b">
        <v>1</v>
      </c>
      <c r="M384" s="8" t="b">
        <v>1</v>
      </c>
      <c r="N384" s="8" t="b">
        <v>1</v>
      </c>
      <c r="O384" s="8" t="n">
        <v>2</v>
      </c>
      <c r="P384" s="8" t="n">
        <v>1</v>
      </c>
      <c r="Q384" s="8" t="n">
        <v>0</v>
      </c>
      <c r="R384" s="8" t="n"/>
      <c r="S384" s="23" t="n">
        <v>46217</v>
      </c>
      <c r="T384" s="23" t="n">
        <v>46217</v>
      </c>
      <c r="U384" s="8" t="n">
        <v>0</v>
      </c>
      <c r="V384" s="9" t="n">
        <v>0</v>
      </c>
      <c r="W384" s="8" t="inlineStr">
        <is>
          <t>AzqAtDVPLMmwxYY</t>
        </is>
      </c>
      <c r="X384" s="9" t="n"/>
      <c r="Y384" s="8" t="inlineStr">
        <is>
          <t>cancelled</t>
        </is>
      </c>
      <c r="Z384" s="8" t="inlineStr">
        <is>
          <t>chargebee_company</t>
        </is>
      </c>
    </row>
    <row r="385">
      <c r="A385" s="11" t="inlineStr">
        <is>
          <t>e4e5a52e-fb5c-4109-8078-95913435d7c3</t>
        </is>
      </c>
      <c r="B385" s="11" t="inlineStr">
        <is>
          <t>Exclusive Hair Care Salon &amp; Spa</t>
        </is>
      </c>
      <c r="C385" s="24" t="n">
        <v>46217</v>
      </c>
      <c r="D385" s="11" t="inlineStr">
        <is>
          <t>2026-07</t>
        </is>
      </c>
      <c r="E385" s="11" t="b">
        <v>1</v>
      </c>
      <c r="F385" s="11" t="b">
        <v>1</v>
      </c>
      <c r="G385" s="11" t="b">
        <v>1</v>
      </c>
      <c r="H385" s="11" t="b">
        <v>1</v>
      </c>
      <c r="I385" s="11" t="b">
        <v>1</v>
      </c>
      <c r="J385" s="11" t="b">
        <v>0</v>
      </c>
      <c r="K385" s="11" t="b">
        <v>1</v>
      </c>
      <c r="L385" s="11" t="b">
        <v>1</v>
      </c>
      <c r="M385" s="11" t="b">
        <v>1</v>
      </c>
      <c r="N385" s="11" t="b">
        <v>1</v>
      </c>
      <c r="O385" s="11" t="n">
        <v>7</v>
      </c>
      <c r="P385" s="11" t="n">
        <v>7</v>
      </c>
      <c r="Q385" s="11" t="n">
        <v>0</v>
      </c>
      <c r="R385" s="11" t="n"/>
      <c r="S385" s="24" t="n">
        <v>46226</v>
      </c>
      <c r="T385" s="24" t="n">
        <v>46236</v>
      </c>
      <c r="U385" s="11" t="n">
        <v>0</v>
      </c>
      <c r="V385" s="12" t="n">
        <v>0</v>
      </c>
      <c r="W385" s="11" t="inlineStr">
        <is>
          <t>16Aa1IVB2NRNH4JN</t>
        </is>
      </c>
      <c r="X385" s="12" t="n">
        <v>250</v>
      </c>
      <c r="Y385" s="11" t="inlineStr">
        <is>
          <t>active</t>
        </is>
      </c>
      <c r="Z385" s="11" t="inlineStr">
        <is>
          <t>gbp</t>
        </is>
      </c>
    </row>
    <row r="386">
      <c r="A386" s="8" t="inlineStr">
        <is>
          <t>43291529-ef8a-4828-ac99-2da0d20c2d23</t>
        </is>
      </c>
      <c r="B386" s="8" t="inlineStr">
        <is>
          <t>Studio 818 Locs &amp; Braids</t>
        </is>
      </c>
      <c r="C386" s="23" t="n">
        <v>46217</v>
      </c>
      <c r="D386" s="8" t="inlineStr">
        <is>
          <t>2026-07</t>
        </is>
      </c>
      <c r="E386" s="8" t="b">
        <v>1</v>
      </c>
      <c r="F386" s="8" t="b">
        <v>1</v>
      </c>
      <c r="G386" s="8" t="b">
        <v>1</v>
      </c>
      <c r="H386" s="8" t="b">
        <v>1</v>
      </c>
      <c r="I386" s="8" t="b">
        <v>1</v>
      </c>
      <c r="J386" s="8" t="b">
        <v>0</v>
      </c>
      <c r="K386" s="8" t="b">
        <v>1</v>
      </c>
      <c r="L386" s="8" t="b">
        <v>1</v>
      </c>
      <c r="M386" s="8" t="b">
        <v>1</v>
      </c>
      <c r="N386" s="8" t="b">
        <v>1</v>
      </c>
      <c r="O386" s="8" t="n">
        <v>9</v>
      </c>
      <c r="P386" s="8" t="n">
        <v>9</v>
      </c>
      <c r="Q386" s="8" t="n">
        <v>0</v>
      </c>
      <c r="R386" s="8" t="n"/>
      <c r="S386" s="23" t="n">
        <v>46219</v>
      </c>
      <c r="T386" s="23" t="n">
        <v>46234</v>
      </c>
      <c r="U386" s="8" t="n">
        <v>0</v>
      </c>
      <c r="V386" s="9" t="n">
        <v>0</v>
      </c>
      <c r="W386" s="8" t="inlineStr">
        <is>
          <t>AzqSZPVOobWqH2J4Y</t>
        </is>
      </c>
      <c r="X386" s="9" t="n">
        <v>100</v>
      </c>
      <c r="Y386" s="8" t="inlineStr">
        <is>
          <t>active</t>
        </is>
      </c>
      <c r="Z386" s="8" t="inlineStr">
        <is>
          <t>gbp</t>
        </is>
      </c>
    </row>
    <row r="387">
      <c r="A387" s="11" t="inlineStr">
        <is>
          <t>be9edf15-e4ca-4892-af51-c69ca1f90152</t>
        </is>
      </c>
      <c r="B387" s="11" t="inlineStr">
        <is>
          <t>Saxena spa salon gsisg</t>
        </is>
      </c>
      <c r="C387" s="24" t="n">
        <v>46218</v>
      </c>
      <c r="D387" s="11" t="inlineStr">
        <is>
          <t>2026-07</t>
        </is>
      </c>
      <c r="E387" s="11" t="b">
        <v>1</v>
      </c>
      <c r="F387" s="11" t="b">
        <v>1</v>
      </c>
      <c r="G387" s="11" t="b">
        <v>1</v>
      </c>
      <c r="H387" s="11" t="b">
        <v>1</v>
      </c>
      <c r="I387" s="11" t="b">
        <v>1</v>
      </c>
      <c r="J387" s="11" t="b">
        <v>0</v>
      </c>
      <c r="K387" s="11" t="b">
        <v>1</v>
      </c>
      <c r="L387" s="11" t="b">
        <v>1</v>
      </c>
      <c r="M387" s="11" t="b">
        <v>1</v>
      </c>
      <c r="N387" s="11" t="b">
        <v>1</v>
      </c>
      <c r="O387" s="11" t="n">
        <v>6</v>
      </c>
      <c r="P387" s="11" t="n">
        <v>2</v>
      </c>
      <c r="Q387" s="11" t="n">
        <v>0</v>
      </c>
      <c r="R387" s="11" t="n"/>
      <c r="S387" s="24" t="n">
        <v>46219</v>
      </c>
      <c r="T387" s="24" t="n">
        <v>46219</v>
      </c>
      <c r="U387" s="11" t="n">
        <v>1</v>
      </c>
      <c r="V387" s="12" t="n">
        <v>240</v>
      </c>
      <c r="W387" s="11" t="inlineStr">
        <is>
          <t>16CRnyVPS7cXn1ac4</t>
        </is>
      </c>
      <c r="X387" s="12" t="n"/>
      <c r="Y387" s="11" t="inlineStr">
        <is>
          <t>cancelled</t>
        </is>
      </c>
      <c r="Z387" s="11" t="inlineStr">
        <is>
          <t>gbp_logs</t>
        </is>
      </c>
    </row>
    <row r="388">
      <c r="A388" s="8" t="inlineStr">
        <is>
          <t>37016fcb-e35b-4659-9361-f9327905d31e</t>
        </is>
      </c>
      <c r="B388" s="8" t="inlineStr">
        <is>
          <t>Natasha Braids</t>
        </is>
      </c>
      <c r="C388" s="23" t="n">
        <v>46218</v>
      </c>
      <c r="D388" s="8" t="inlineStr">
        <is>
          <t>2026-07</t>
        </is>
      </c>
      <c r="E388" s="8" t="b">
        <v>1</v>
      </c>
      <c r="F388" s="8" t="b">
        <v>1</v>
      </c>
      <c r="G388" s="8" t="b">
        <v>1</v>
      </c>
      <c r="H388" s="8" t="b">
        <v>1</v>
      </c>
      <c r="I388" s="8" t="b">
        <v>1</v>
      </c>
      <c r="J388" s="8" t="b">
        <v>0</v>
      </c>
      <c r="K388" s="8" t="b">
        <v>1</v>
      </c>
      <c r="L388" s="8" t="b">
        <v>1</v>
      </c>
      <c r="M388" s="8" t="b">
        <v>1</v>
      </c>
      <c r="N388" s="8" t="b">
        <v>1</v>
      </c>
      <c r="O388" s="8" t="n">
        <v>0</v>
      </c>
      <c r="P388" s="8" t="n">
        <v>0</v>
      </c>
      <c r="Q388" s="8" t="n">
        <v>0</v>
      </c>
      <c r="R388" s="8" t="n"/>
      <c r="S388" s="23" t="n"/>
      <c r="T388" s="23" t="n"/>
      <c r="U388" s="8" t="n">
        <v>0</v>
      </c>
      <c r="V388" s="9" t="n">
        <v>0</v>
      </c>
      <c r="W388" s="8" t="inlineStr">
        <is>
          <t>AzqgHEVPSDAzT1Wtr</t>
        </is>
      </c>
      <c r="X388" s="9" t="n"/>
      <c r="Y388" s="8" t="inlineStr">
        <is>
          <t>cancelled</t>
        </is>
      </c>
      <c r="Z388" s="8" t="inlineStr">
        <is>
          <t>gbp_logs</t>
        </is>
      </c>
    </row>
    <row r="389">
      <c r="A389" s="11" t="inlineStr">
        <is>
          <t>a4b27563-bb91-4802-a920-803bb582cb7c</t>
        </is>
      </c>
      <c r="B389" s="11" t="inlineStr">
        <is>
          <t>Spa Skin Well</t>
        </is>
      </c>
      <c r="C389" s="24" t="n">
        <v>46218</v>
      </c>
      <c r="D389" s="11" t="inlineStr">
        <is>
          <t>2026-07</t>
        </is>
      </c>
      <c r="E389" s="11" t="b">
        <v>1</v>
      </c>
      <c r="F389" s="11" t="b">
        <v>1</v>
      </c>
      <c r="G389" s="11" t="b">
        <v>1</v>
      </c>
      <c r="H389" s="11" t="b">
        <v>1</v>
      </c>
      <c r="I389" s="11" t="b">
        <v>0</v>
      </c>
      <c r="J389" s="11" t="b">
        <v>0</v>
      </c>
      <c r="K389" s="11" t="b">
        <v>0</v>
      </c>
      <c r="L389" s="11" t="b">
        <v>0</v>
      </c>
      <c r="M389" s="11" t="b">
        <v>0</v>
      </c>
      <c r="N389" s="11" t="b">
        <v>0</v>
      </c>
      <c r="O389" s="11" t="n">
        <v>0</v>
      </c>
      <c r="P389" s="11" t="n">
        <v>0</v>
      </c>
      <c r="Q389" s="11" t="n">
        <v>0</v>
      </c>
      <c r="R389" s="11" t="n"/>
      <c r="S389" s="24" t="n"/>
      <c r="T389" s="24" t="n"/>
      <c r="U389" s="11" t="n">
        <v>0</v>
      </c>
      <c r="V389" s="12" t="n">
        <v>0</v>
      </c>
      <c r="W389" s="11" t="inlineStr">
        <is>
          <t>169s88VAZNMheMKT7</t>
        </is>
      </c>
      <c r="X389" s="12" t="n">
        <v>200</v>
      </c>
      <c r="Y389" s="11" t="inlineStr">
        <is>
          <t>active</t>
        </is>
      </c>
      <c r="Z389" s="11" t="inlineStr">
        <is>
          <t>gbp</t>
        </is>
      </c>
    </row>
    <row r="390">
      <c r="A390" s="8" t="inlineStr">
        <is>
          <t>7703e8ff-1a57-4764-82df-8392a796db4e</t>
        </is>
      </c>
      <c r="B390" s="8" t="inlineStr">
        <is>
          <t>Amira's Spa and Salon</t>
        </is>
      </c>
      <c r="C390" s="23" t="n">
        <v>46218</v>
      </c>
      <c r="D390" s="8" t="inlineStr">
        <is>
          <t>2026-07</t>
        </is>
      </c>
      <c r="E390" s="8" t="b">
        <v>1</v>
      </c>
      <c r="F390" s="8" t="b">
        <v>1</v>
      </c>
      <c r="G390" s="8" t="b">
        <v>1</v>
      </c>
      <c r="H390" s="8" t="b">
        <v>1</v>
      </c>
      <c r="I390" s="8" t="b">
        <v>1</v>
      </c>
      <c r="J390" s="8" t="b">
        <v>0</v>
      </c>
      <c r="K390" s="8" t="b">
        <v>1</v>
      </c>
      <c r="L390" s="8" t="b">
        <v>1</v>
      </c>
      <c r="M390" s="8" t="b">
        <v>1</v>
      </c>
      <c r="N390" s="8" t="b">
        <v>1</v>
      </c>
      <c r="O390" s="8" t="n">
        <v>17</v>
      </c>
      <c r="P390" s="8" t="n">
        <v>2</v>
      </c>
      <c r="Q390" s="8" t="n">
        <v>0</v>
      </c>
      <c r="R390" s="8" t="n"/>
      <c r="S390" s="23" t="n">
        <v>46218</v>
      </c>
      <c r="T390" s="23" t="n">
        <v>46234</v>
      </c>
      <c r="U390" s="8" t="n">
        <v>0</v>
      </c>
      <c r="V390" s="9" t="n">
        <v>0</v>
      </c>
      <c r="W390" s="8" t="inlineStr">
        <is>
          <t>AzhmdyVFl8Ccj5Nr</t>
        </is>
      </c>
      <c r="X390" s="9" t="n">
        <v>200</v>
      </c>
      <c r="Y390" s="8" t="inlineStr">
        <is>
          <t>active</t>
        </is>
      </c>
      <c r="Z390" s="8" t="inlineStr">
        <is>
          <t>gbp</t>
        </is>
      </c>
    </row>
    <row r="391">
      <c r="A391" s="11" t="inlineStr">
        <is>
          <t>63e9f695-5138-47a1-b2cb-8109d6763fdc</t>
        </is>
      </c>
      <c r="B391" s="11" t="inlineStr">
        <is>
          <t>Meraki &amp; Co. Salon &amp; Spa</t>
        </is>
      </c>
      <c r="C391" s="24" t="n">
        <v>46219</v>
      </c>
      <c r="D391" s="11" t="inlineStr">
        <is>
          <t>2026-07</t>
        </is>
      </c>
      <c r="E391" s="11" t="b">
        <v>1</v>
      </c>
      <c r="F391" s="11" t="b">
        <v>0</v>
      </c>
      <c r="G391" s="11" t="b">
        <v>0</v>
      </c>
      <c r="H391" s="11" t="b">
        <v>0</v>
      </c>
      <c r="I391" s="11" t="b">
        <v>0</v>
      </c>
      <c r="J391" s="11" t="b">
        <v>0</v>
      </c>
      <c r="K391" s="11" t="b">
        <v>0</v>
      </c>
      <c r="L391" s="11" t="b">
        <v>0</v>
      </c>
      <c r="M391" s="11" t="b">
        <v>0</v>
      </c>
      <c r="N391" s="11" t="b">
        <v>0</v>
      </c>
      <c r="O391" s="11" t="n">
        <v>0</v>
      </c>
      <c r="P391" s="11" t="n">
        <v>0</v>
      </c>
      <c r="Q391" s="11" t="n">
        <v>0</v>
      </c>
      <c r="R391" s="11" t="n"/>
      <c r="S391" s="24" t="n"/>
      <c r="T391" s="24" t="n"/>
      <c r="U391" s="11" t="n">
        <v>0</v>
      </c>
      <c r="V391" s="12" t="n">
        <v>0</v>
      </c>
      <c r="W391" s="11" t="inlineStr">
        <is>
          <t>6og62V9GDvb83Ii2</t>
        </is>
      </c>
      <c r="X391" s="12" t="n">
        <v>250</v>
      </c>
      <c r="Y391" s="11" t="inlineStr">
        <is>
          <t>active</t>
        </is>
      </c>
      <c r="Z391" s="11" t="inlineStr">
        <is>
          <t>gbp</t>
        </is>
      </c>
    </row>
    <row r="392">
      <c r="A392" s="8" t="inlineStr">
        <is>
          <t>d8edfc9f-ce9b-4e67-8cc5-a1643a682a1b</t>
        </is>
      </c>
      <c r="B392" s="8" t="inlineStr">
        <is>
          <t>The glam Lounge</t>
        </is>
      </c>
      <c r="C392" s="23" t="n">
        <v>46219</v>
      </c>
      <c r="D392" s="8" t="inlineStr">
        <is>
          <t>2026-07</t>
        </is>
      </c>
      <c r="E392" s="8" t="b">
        <v>1</v>
      </c>
      <c r="F392" s="8" t="b">
        <v>1</v>
      </c>
      <c r="G392" s="8" t="b">
        <v>1</v>
      </c>
      <c r="H392" s="8" t="b">
        <v>1</v>
      </c>
      <c r="I392" s="8" t="b">
        <v>1</v>
      </c>
      <c r="J392" s="8" t="b">
        <v>0</v>
      </c>
      <c r="K392" s="8" t="b">
        <v>1</v>
      </c>
      <c r="L392" s="8" t="b">
        <v>1</v>
      </c>
      <c r="M392" s="8" t="b">
        <v>1</v>
      </c>
      <c r="N392" s="8" t="b">
        <v>1</v>
      </c>
      <c r="O392" s="8" t="n">
        <v>1</v>
      </c>
      <c r="P392" s="8" t="n">
        <v>1</v>
      </c>
      <c r="Q392" s="8" t="n">
        <v>0</v>
      </c>
      <c r="R392" s="8" t="n"/>
      <c r="S392" s="23" t="n">
        <v>46219</v>
      </c>
      <c r="T392" s="23" t="n">
        <v>46219</v>
      </c>
      <c r="U392" s="8" t="n">
        <v>0</v>
      </c>
      <c r="V392" s="9" t="n">
        <v>0</v>
      </c>
      <c r="W392" s="8" t="inlineStr">
        <is>
          <t>AzyjG5VPZLpgx1zVr</t>
        </is>
      </c>
      <c r="X392" s="9" t="n"/>
      <c r="Y392" s="8" t="n"/>
      <c r="Z392" s="8" t="inlineStr">
        <is>
          <t>gbp</t>
        </is>
      </c>
    </row>
    <row r="393">
      <c r="A393" s="11" t="inlineStr">
        <is>
          <t>6a00cabc-2e87-497d-98f8-99fa7e0df0f3</t>
        </is>
      </c>
      <c r="B393" s="11" t="inlineStr">
        <is>
          <t>Natasha servcice centre</t>
        </is>
      </c>
      <c r="C393" s="24" t="n">
        <v>46220</v>
      </c>
      <c r="D393" s="11" t="inlineStr">
        <is>
          <t>2026-07</t>
        </is>
      </c>
      <c r="E393" s="11" t="b">
        <v>1</v>
      </c>
      <c r="F393" s="11" t="b">
        <v>0</v>
      </c>
      <c r="G393" s="11" t="b">
        <v>0</v>
      </c>
      <c r="H393" s="11" t="b">
        <v>0</v>
      </c>
      <c r="I393" s="11" t="b">
        <v>0</v>
      </c>
      <c r="J393" s="11" t="b">
        <v>0</v>
      </c>
      <c r="K393" s="11" t="b">
        <v>0</v>
      </c>
      <c r="L393" s="11" t="b">
        <v>0</v>
      </c>
      <c r="M393" s="11" t="b">
        <v>0</v>
      </c>
      <c r="N393" s="11" t="b">
        <v>0</v>
      </c>
      <c r="O393" s="11" t="n">
        <v>0</v>
      </c>
      <c r="P393" s="11" t="n">
        <v>0</v>
      </c>
      <c r="Q393" s="11" t="n">
        <v>0</v>
      </c>
      <c r="R393" s="11" t="n"/>
      <c r="S393" s="24" t="n"/>
      <c r="T393" s="24" t="n"/>
      <c r="U393" s="11" t="n">
        <v>0</v>
      </c>
      <c r="V393" s="12" t="n">
        <v>0</v>
      </c>
      <c r="W393" s="11" t="inlineStr">
        <is>
          <t>AzqDTTVPdb1m71OyB</t>
        </is>
      </c>
      <c r="X393" s="12" t="n"/>
      <c r="Y393" s="11" t="n"/>
      <c r="Z393" s="11" t="inlineStr">
        <is>
          <t>chargebee_company</t>
        </is>
      </c>
    </row>
    <row r="394">
      <c r="A394" s="8" t="inlineStr">
        <is>
          <t>cedf3d37-d044-4f43-a40e-a084a814b21b</t>
        </is>
      </c>
      <c r="B394" s="8" t="inlineStr">
        <is>
          <t>Spa Elegant (Eyebrow Threading,Waxing,Facials,Lamination,Perming &amp; many more s</t>
        </is>
      </c>
      <c r="C394" s="23" t="n">
        <v>46220</v>
      </c>
      <c r="D394" s="8" t="inlineStr">
        <is>
          <t>2026-07</t>
        </is>
      </c>
      <c r="E394" s="8" t="b">
        <v>1</v>
      </c>
      <c r="F394" s="8" t="b">
        <v>1</v>
      </c>
      <c r="G394" s="8" t="b">
        <v>1</v>
      </c>
      <c r="H394" s="8" t="b">
        <v>1</v>
      </c>
      <c r="I394" s="8" t="b">
        <v>1</v>
      </c>
      <c r="J394" s="8" t="b">
        <v>0</v>
      </c>
      <c r="K394" s="8" t="b">
        <v>1</v>
      </c>
      <c r="L394" s="8" t="b">
        <v>1</v>
      </c>
      <c r="M394" s="8" t="b">
        <v>1</v>
      </c>
      <c r="N394" s="8" t="b">
        <v>1</v>
      </c>
      <c r="O394" s="8" t="n">
        <v>26</v>
      </c>
      <c r="P394" s="8" t="n">
        <v>20</v>
      </c>
      <c r="Q394" s="8" t="n">
        <v>0</v>
      </c>
      <c r="R394" s="8" t="n"/>
      <c r="S394" s="23" t="n">
        <v>46220</v>
      </c>
      <c r="T394" s="23" t="n">
        <v>46236</v>
      </c>
      <c r="U394" s="8" t="n">
        <v>0</v>
      </c>
      <c r="V394" s="9" t="n">
        <v>0</v>
      </c>
      <c r="W394" s="8" t="inlineStr">
        <is>
          <t>cus_P6S4xKIbdfLBt3</t>
        </is>
      </c>
      <c r="X394" s="9" t="n">
        <v>140</v>
      </c>
      <c r="Y394" s="8" t="inlineStr">
        <is>
          <t>active</t>
        </is>
      </c>
      <c r="Z394" s="8" t="inlineStr">
        <is>
          <t>gbp</t>
        </is>
      </c>
    </row>
    <row r="395">
      <c r="A395" s="11" t="inlineStr">
        <is>
          <t>664a3f7f-6d0a-4f67-a0b2-3675e6e98bb8</t>
        </is>
      </c>
      <c r="B395" s="11" t="inlineStr">
        <is>
          <t>Saxena spa salon gsisg</t>
        </is>
      </c>
      <c r="C395" s="24" t="n">
        <v>46220</v>
      </c>
      <c r="D395" s="11" t="inlineStr">
        <is>
          <t>2026-07</t>
        </is>
      </c>
      <c r="E395" s="11" t="b">
        <v>1</v>
      </c>
      <c r="F395" s="11" t="b">
        <v>1</v>
      </c>
      <c r="G395" s="11" t="b">
        <v>1</v>
      </c>
      <c r="H395" s="11" t="b">
        <v>1</v>
      </c>
      <c r="I395" s="11" t="b">
        <v>1</v>
      </c>
      <c r="J395" s="11" t="b">
        <v>0</v>
      </c>
      <c r="K395" s="11" t="b">
        <v>1</v>
      </c>
      <c r="L395" s="11" t="b">
        <v>1</v>
      </c>
      <c r="M395" s="11" t="b">
        <v>1</v>
      </c>
      <c r="N395" s="11" t="b">
        <v>1</v>
      </c>
      <c r="O395" s="11" t="n">
        <v>0</v>
      </c>
      <c r="P395" s="11" t="n">
        <v>0</v>
      </c>
      <c r="Q395" s="11" t="n">
        <v>0</v>
      </c>
      <c r="R395" s="11" t="n"/>
      <c r="S395" s="24" t="n"/>
      <c r="T395" s="24" t="n"/>
      <c r="U395" s="11" t="n">
        <v>0</v>
      </c>
      <c r="V395" s="12" t="n">
        <v>0</v>
      </c>
      <c r="W395" s="11" t="inlineStr">
        <is>
          <t>AzZvIeVPdipo21TWT</t>
        </is>
      </c>
      <c r="X395" s="12" t="n"/>
      <c r="Y395" s="11" t="n"/>
      <c r="Z395" s="11" t="inlineStr">
        <is>
          <t>chargebee_company</t>
        </is>
      </c>
    </row>
    <row r="396">
      <c r="A396" s="8" t="inlineStr">
        <is>
          <t>f93cc098-397b-4813-b5ac-b5c51a0aeddd</t>
        </is>
      </c>
      <c r="B396" s="8" t="inlineStr">
        <is>
          <t>Saxena spa salon gsisg</t>
        </is>
      </c>
      <c r="C396" s="23" t="n">
        <v>46220</v>
      </c>
      <c r="D396" s="8" t="inlineStr">
        <is>
          <t>2026-07</t>
        </is>
      </c>
      <c r="E396" s="8" t="b">
        <v>1</v>
      </c>
      <c r="F396" s="8" t="b">
        <v>1</v>
      </c>
      <c r="G396" s="8" t="b">
        <v>1</v>
      </c>
      <c r="H396" s="8" t="b">
        <v>1</v>
      </c>
      <c r="I396" s="8" t="b">
        <v>1</v>
      </c>
      <c r="J396" s="8" t="b">
        <v>0</v>
      </c>
      <c r="K396" s="8" t="b">
        <v>1</v>
      </c>
      <c r="L396" s="8" t="b">
        <v>1</v>
      </c>
      <c r="M396" s="8" t="b">
        <v>1</v>
      </c>
      <c r="N396" s="8" t="b">
        <v>1</v>
      </c>
      <c r="O396" s="8" t="n">
        <v>9</v>
      </c>
      <c r="P396" s="8" t="n">
        <v>1</v>
      </c>
      <c r="Q396" s="8" t="n">
        <v>0</v>
      </c>
      <c r="R396" s="8" t="n"/>
      <c r="S396" s="23" t="n">
        <v>46220</v>
      </c>
      <c r="T396" s="23" t="n">
        <v>46223</v>
      </c>
      <c r="U396" s="8" t="n">
        <v>5</v>
      </c>
      <c r="V396" s="9" t="n">
        <v>997.6799999999999</v>
      </c>
      <c r="W396" s="8" t="inlineStr">
        <is>
          <t>Azz5gcVPdm0X21P6g</t>
        </is>
      </c>
      <c r="X396" s="9" t="n"/>
      <c r="Y396" s="8" t="inlineStr">
        <is>
          <t>cancelled</t>
        </is>
      </c>
      <c r="Z396" s="8" t="inlineStr">
        <is>
          <t>gbp_logs</t>
        </is>
      </c>
    </row>
    <row r="397">
      <c r="A397" s="11" t="inlineStr">
        <is>
          <t>5774e2ef-b657-4b92-b072-56ada5961334</t>
        </is>
      </c>
      <c r="B397" s="11" t="inlineStr">
        <is>
          <t>Braiding Hair Max of Baltimore</t>
        </is>
      </c>
      <c r="C397" s="24" t="n">
        <v>46220</v>
      </c>
      <c r="D397" s="11" t="inlineStr">
        <is>
          <t>2026-07</t>
        </is>
      </c>
      <c r="E397" s="11" t="b">
        <v>1</v>
      </c>
      <c r="F397" s="11" t="b">
        <v>1</v>
      </c>
      <c r="G397" s="11" t="b">
        <v>1</v>
      </c>
      <c r="H397" s="11" t="b">
        <v>1</v>
      </c>
      <c r="I397" s="11" t="b">
        <v>1</v>
      </c>
      <c r="J397" s="11" t="b">
        <v>1</v>
      </c>
      <c r="K397" s="11" t="b">
        <v>0</v>
      </c>
      <c r="L397" s="11" t="b">
        <v>1</v>
      </c>
      <c r="M397" s="11" t="b">
        <v>1</v>
      </c>
      <c r="N397" s="11" t="b">
        <v>1</v>
      </c>
      <c r="O397" s="11" t="n">
        <v>2</v>
      </c>
      <c r="P397" s="11" t="n">
        <v>2</v>
      </c>
      <c r="Q397" s="11" t="n">
        <v>0</v>
      </c>
      <c r="R397" s="11" t="n"/>
      <c r="S397" s="24" t="n">
        <v>46234</v>
      </c>
      <c r="T397" s="24" t="n">
        <v>46234</v>
      </c>
      <c r="U397" s="11" t="n">
        <v>0</v>
      </c>
      <c r="V397" s="12" t="n">
        <v>0</v>
      </c>
      <c r="W397" s="11" t="inlineStr">
        <is>
          <t>cus_PdqsoQAz9ZqpW7</t>
        </is>
      </c>
      <c r="X397" s="12" t="n">
        <v>150</v>
      </c>
      <c r="Y397" s="11" t="inlineStr">
        <is>
          <t>active</t>
        </is>
      </c>
      <c r="Z397" s="11" t="inlineStr">
        <is>
          <t>gbp</t>
        </is>
      </c>
    </row>
    <row r="398">
      <c r="A398" s="8" t="inlineStr">
        <is>
          <t>0beb9482-2598-4110-9438-bd2dfdb9da74</t>
        </is>
      </c>
      <c r="B398" s="8" t="inlineStr">
        <is>
          <t>Profiles Nails and Beauty Salon</t>
        </is>
      </c>
      <c r="C398" s="23" t="n">
        <v>46220</v>
      </c>
      <c r="D398" s="8" t="inlineStr">
        <is>
          <t>2026-07</t>
        </is>
      </c>
      <c r="E398" s="8" t="b">
        <v>1</v>
      </c>
      <c r="F398" s="8" t="b">
        <v>1</v>
      </c>
      <c r="G398" s="8" t="b">
        <v>1</v>
      </c>
      <c r="H398" s="8" t="b">
        <v>1</v>
      </c>
      <c r="I398" s="8" t="b">
        <v>1</v>
      </c>
      <c r="J398" s="8" t="b">
        <v>0</v>
      </c>
      <c r="K398" s="8" t="b">
        <v>1</v>
      </c>
      <c r="L398" s="8" t="b">
        <v>1</v>
      </c>
      <c r="M398" s="8" t="b">
        <v>1</v>
      </c>
      <c r="N398" s="8" t="b">
        <v>1</v>
      </c>
      <c r="O398" s="8" t="n">
        <v>3</v>
      </c>
      <c r="P398" s="8" t="n">
        <v>3</v>
      </c>
      <c r="Q398" s="8" t="n">
        <v>0</v>
      </c>
      <c r="R398" s="8" t="n"/>
      <c r="S398" s="23" t="n">
        <v>46231</v>
      </c>
      <c r="T398" s="23" t="n">
        <v>46235</v>
      </c>
      <c r="U398" s="8" t="n">
        <v>0</v>
      </c>
      <c r="V398" s="9" t="n">
        <v>0</v>
      </c>
      <c r="W398" s="8" t="inlineStr">
        <is>
          <t>AzZcugVGi9LiXbvc</t>
        </is>
      </c>
      <c r="X398" s="9" t="n">
        <v>150</v>
      </c>
      <c r="Y398" s="8" t="inlineStr">
        <is>
          <t>active</t>
        </is>
      </c>
      <c r="Z398" s="8" t="inlineStr">
        <is>
          <t>gbp</t>
        </is>
      </c>
    </row>
    <row r="399">
      <c r="A399" s="11" t="inlineStr">
        <is>
          <t>1de35141-968e-4c3b-8b61-2881d81bca91</t>
        </is>
      </c>
      <c r="B399" s="11" t="inlineStr">
        <is>
          <t>Heena’s Threading Salon Kips Bay</t>
        </is>
      </c>
      <c r="C399" s="24" t="n">
        <v>46220</v>
      </c>
      <c r="D399" s="11" t="inlineStr">
        <is>
          <t>2026-07</t>
        </is>
      </c>
      <c r="E399" s="11" t="b">
        <v>1</v>
      </c>
      <c r="F399" s="11" t="b">
        <v>1</v>
      </c>
      <c r="G399" s="11" t="b">
        <v>1</v>
      </c>
      <c r="H399" s="11" t="b">
        <v>1</v>
      </c>
      <c r="I399" s="11" t="b">
        <v>1</v>
      </c>
      <c r="J399" s="11" t="b">
        <v>0</v>
      </c>
      <c r="K399" s="11" t="b">
        <v>1</v>
      </c>
      <c r="L399" s="11" t="b">
        <v>1</v>
      </c>
      <c r="M399" s="11" t="b">
        <v>1</v>
      </c>
      <c r="N399" s="11" t="b">
        <v>1</v>
      </c>
      <c r="O399" s="11" t="n">
        <v>2</v>
      </c>
      <c r="P399" s="11" t="n">
        <v>2</v>
      </c>
      <c r="Q399" s="11" t="n">
        <v>0</v>
      </c>
      <c r="R399" s="11" t="n"/>
      <c r="S399" s="24" t="n">
        <v>46220</v>
      </c>
      <c r="T399" s="24" t="n">
        <v>46220</v>
      </c>
      <c r="U399" s="11" t="n">
        <v>0</v>
      </c>
      <c r="V399" s="12" t="n">
        <v>0</v>
      </c>
      <c r="W399" s="11" t="inlineStr">
        <is>
          <t>AzZdNlVPesTqm2A1K</t>
        </is>
      </c>
      <c r="X399" s="12" t="n"/>
      <c r="Y399" s="11" t="n"/>
      <c r="Z399" s="11" t="inlineStr">
        <is>
          <t>gbp</t>
        </is>
      </c>
    </row>
    <row r="400">
      <c r="A400" s="8" t="inlineStr">
        <is>
          <t>dbdd7091-1fa0-44d2-80c7-4b146da8c6ce</t>
        </is>
      </c>
      <c r="B400" s="8" t="inlineStr">
        <is>
          <t>Heenas Threading Salon - Midtown East</t>
        </is>
      </c>
      <c r="C400" s="23" t="n">
        <v>46220</v>
      </c>
      <c r="D400" s="8" t="inlineStr">
        <is>
          <t>2026-07</t>
        </is>
      </c>
      <c r="E400" s="8" t="b">
        <v>1</v>
      </c>
      <c r="F400" s="8" t="b">
        <v>1</v>
      </c>
      <c r="G400" s="8" t="b">
        <v>1</v>
      </c>
      <c r="H400" s="8" t="b">
        <v>1</v>
      </c>
      <c r="I400" s="8" t="b">
        <v>1</v>
      </c>
      <c r="J400" s="8" t="b">
        <v>0</v>
      </c>
      <c r="K400" s="8" t="b">
        <v>1</v>
      </c>
      <c r="L400" s="8" t="b">
        <v>1</v>
      </c>
      <c r="M400" s="8" t="b">
        <v>1</v>
      </c>
      <c r="N400" s="8" t="b">
        <v>1</v>
      </c>
      <c r="O400" s="8" t="n">
        <v>289</v>
      </c>
      <c r="P400" s="8" t="n">
        <v>283</v>
      </c>
      <c r="Q400" s="8" t="n">
        <v>9316</v>
      </c>
      <c r="R400" s="8" t="inlineStr">
        <is>
          <t>ZOCA_OPS</t>
        </is>
      </c>
      <c r="S400" s="23" t="n">
        <v>46220</v>
      </c>
      <c r="T400" s="23" t="n">
        <v>46237</v>
      </c>
      <c r="U400" s="8" t="n">
        <v>2</v>
      </c>
      <c r="V400" s="9" t="n">
        <v>95</v>
      </c>
      <c r="W400" s="8" t="inlineStr">
        <is>
          <t>16BhqHVPf1uH42Fa6</t>
        </is>
      </c>
      <c r="X400" s="9" t="n">
        <v>248</v>
      </c>
      <c r="Y400" s="8" t="inlineStr">
        <is>
          <t>active</t>
        </is>
      </c>
      <c r="Z400" s="8" t="inlineStr">
        <is>
          <t>gbp</t>
        </is>
      </c>
    </row>
    <row r="401">
      <c r="A401" s="11" t="inlineStr">
        <is>
          <t>7adaab74-ca4a-4433-87a4-c091d0d47537</t>
        </is>
      </c>
      <c r="B401" s="11" t="inlineStr">
        <is>
          <t>Heena's Salon</t>
        </is>
      </c>
      <c r="C401" s="24" t="n">
        <v>46220</v>
      </c>
      <c r="D401" s="11" t="inlineStr">
        <is>
          <t>2026-07</t>
        </is>
      </c>
      <c r="E401" s="11" t="b">
        <v>1</v>
      </c>
      <c r="F401" s="11" t="b">
        <v>1</v>
      </c>
      <c r="G401" s="11" t="b">
        <v>1</v>
      </c>
      <c r="H401" s="11" t="b">
        <v>1</v>
      </c>
      <c r="I401" s="11" t="b">
        <v>1</v>
      </c>
      <c r="J401" s="11" t="b">
        <v>0</v>
      </c>
      <c r="K401" s="11" t="b">
        <v>1</v>
      </c>
      <c r="L401" s="11" t="b">
        <v>1</v>
      </c>
      <c r="M401" s="11" t="b">
        <v>1</v>
      </c>
      <c r="N401" s="11" t="b">
        <v>1</v>
      </c>
      <c r="O401" s="11" t="n">
        <v>0</v>
      </c>
      <c r="P401" s="11" t="n">
        <v>0</v>
      </c>
      <c r="Q401" s="11" t="n">
        <v>0</v>
      </c>
      <c r="R401" s="11" t="n"/>
      <c r="S401" s="24" t="n"/>
      <c r="T401" s="24" t="n"/>
      <c r="U401" s="11" t="n">
        <v>0</v>
      </c>
      <c r="V401" s="12" t="n">
        <v>0</v>
      </c>
      <c r="W401" s="11" t="inlineStr">
        <is>
          <t>6okCYVPf6nRi27uj</t>
        </is>
      </c>
      <c r="X401" s="12" t="n"/>
      <c r="Y401" s="11" t="n"/>
      <c r="Z401" s="11" t="inlineStr">
        <is>
          <t>gbp</t>
        </is>
      </c>
    </row>
    <row r="402">
      <c r="A402" s="8" t="inlineStr">
        <is>
          <t>77749cc6-2b3b-4784-aeac-993ec36bd21a</t>
        </is>
      </c>
      <c r="B402" s="8" t="inlineStr">
        <is>
          <t>Beautify You</t>
        </is>
      </c>
      <c r="C402" s="23" t="n">
        <v>46223</v>
      </c>
      <c r="D402" s="8" t="inlineStr">
        <is>
          <t>2026-07</t>
        </is>
      </c>
      <c r="E402" s="8" t="b">
        <v>1</v>
      </c>
      <c r="F402" s="8" t="b">
        <v>1</v>
      </c>
      <c r="G402" s="8" t="b">
        <v>1</v>
      </c>
      <c r="H402" s="8" t="b">
        <v>1</v>
      </c>
      <c r="I402" s="8" t="b">
        <v>1</v>
      </c>
      <c r="J402" s="8" t="b">
        <v>0</v>
      </c>
      <c r="K402" s="8" t="b">
        <v>1</v>
      </c>
      <c r="L402" s="8" t="b">
        <v>1</v>
      </c>
      <c r="M402" s="8" t="b">
        <v>1</v>
      </c>
      <c r="N402" s="8" t="b">
        <v>1</v>
      </c>
      <c r="O402" s="8" t="n">
        <v>6</v>
      </c>
      <c r="P402" s="8" t="n">
        <v>0</v>
      </c>
      <c r="Q402" s="8" t="n">
        <v>0</v>
      </c>
      <c r="R402" s="8" t="n"/>
      <c r="S402" s="23" t="n">
        <v>46223</v>
      </c>
      <c r="T402" s="23" t="n">
        <v>46230</v>
      </c>
      <c r="U402" s="8" t="n">
        <v>2</v>
      </c>
      <c r="V402" s="9" t="n">
        <v>661</v>
      </c>
      <c r="W402" s="8" t="inlineStr">
        <is>
          <t>Azz6HkVPuBuY6s81</t>
        </is>
      </c>
      <c r="X402" s="9" t="n"/>
      <c r="Y402" s="8" t="inlineStr">
        <is>
          <t>cancelled</t>
        </is>
      </c>
      <c r="Z402" s="8" t="inlineStr">
        <is>
          <t>gbp</t>
        </is>
      </c>
    </row>
    <row r="403">
      <c r="A403" s="11" t="inlineStr">
        <is>
          <t>dc167352-7053-4464-b5f5-b529d669cbc4</t>
        </is>
      </c>
      <c r="B403" s="11" t="inlineStr">
        <is>
          <t>Leo spa</t>
        </is>
      </c>
      <c r="C403" s="24" t="n">
        <v>46223</v>
      </c>
      <c r="D403" s="11" t="inlineStr">
        <is>
          <t>2026-07</t>
        </is>
      </c>
      <c r="E403" s="11" t="b">
        <v>1</v>
      </c>
      <c r="F403" s="11" t="b">
        <v>1</v>
      </c>
      <c r="G403" s="11" t="b">
        <v>1</v>
      </c>
      <c r="H403" s="11" t="b">
        <v>1</v>
      </c>
      <c r="I403" s="11" t="b">
        <v>1</v>
      </c>
      <c r="J403" s="11" t="b">
        <v>0</v>
      </c>
      <c r="K403" s="11" t="b">
        <v>1</v>
      </c>
      <c r="L403" s="11" t="b">
        <v>1</v>
      </c>
      <c r="M403" s="11" t="b">
        <v>1</v>
      </c>
      <c r="N403" s="11" t="b">
        <v>1</v>
      </c>
      <c r="O403" s="11" t="n">
        <v>0</v>
      </c>
      <c r="P403" s="11" t="n">
        <v>0</v>
      </c>
      <c r="Q403" s="11" t="n">
        <v>0</v>
      </c>
      <c r="R403" s="11" t="n"/>
      <c r="S403" s="24" t="n"/>
      <c r="T403" s="24" t="n"/>
      <c r="U403" s="11" t="n">
        <v>0</v>
      </c>
      <c r="V403" s="12" t="n">
        <v>0</v>
      </c>
      <c r="W403" s="11" t="n"/>
      <c r="X403" s="12" t="n"/>
      <c r="Y403" s="11" t="n"/>
      <c r="Z403" s="11" t="inlineStr">
        <is>
          <t>gbp</t>
        </is>
      </c>
    </row>
    <row r="404">
      <c r="A404" s="8" t="inlineStr">
        <is>
          <t>9efb4f85-0049-4899-8733-a84620330684</t>
        </is>
      </c>
      <c r="B404" s="8" t="inlineStr">
        <is>
          <t>Saxena spa salon gsisg</t>
        </is>
      </c>
      <c r="C404" s="23" t="n">
        <v>46223</v>
      </c>
      <c r="D404" s="8" t="inlineStr">
        <is>
          <t>2026-07</t>
        </is>
      </c>
      <c r="E404" s="8" t="b">
        <v>1</v>
      </c>
      <c r="F404" s="8" t="b">
        <v>1</v>
      </c>
      <c r="G404" s="8" t="b">
        <v>1</v>
      </c>
      <c r="H404" s="8" t="b">
        <v>1</v>
      </c>
      <c r="I404" s="8" t="b">
        <v>1</v>
      </c>
      <c r="J404" s="8" t="b">
        <v>0</v>
      </c>
      <c r="K404" s="8" t="b">
        <v>1</v>
      </c>
      <c r="L404" s="8" t="b">
        <v>1</v>
      </c>
      <c r="M404" s="8" t="b">
        <v>1</v>
      </c>
      <c r="N404" s="8" t="b">
        <v>1</v>
      </c>
      <c r="O404" s="8" t="n">
        <v>5</v>
      </c>
      <c r="P404" s="8" t="n">
        <v>0</v>
      </c>
      <c r="Q404" s="8" t="n">
        <v>0</v>
      </c>
      <c r="R404" s="8" t="n"/>
      <c r="S404" s="23" t="n">
        <v>46224</v>
      </c>
      <c r="T404" s="23" t="n">
        <v>46225</v>
      </c>
      <c r="U404" s="8" t="n">
        <v>3</v>
      </c>
      <c r="V404" s="9" t="n">
        <v>543.9</v>
      </c>
      <c r="W404" s="8" t="inlineStr">
        <is>
          <t>16A6T6VPv3Rf91M9T</t>
        </is>
      </c>
      <c r="X404" s="9" t="n"/>
      <c r="Y404" s="8" t="inlineStr">
        <is>
          <t>cancelled</t>
        </is>
      </c>
      <c r="Z404" s="8" t="inlineStr">
        <is>
          <t>gbp_logs</t>
        </is>
      </c>
    </row>
    <row r="405">
      <c r="A405" s="11" t="inlineStr">
        <is>
          <t>c8f046cd-78e7-48be-859b-cd465e305c62</t>
        </is>
      </c>
      <c r="B405" s="11" t="inlineStr">
        <is>
          <t>Michael's Salon</t>
        </is>
      </c>
      <c r="C405" s="24" t="n">
        <v>46223</v>
      </c>
      <c r="D405" s="11" t="inlineStr">
        <is>
          <t>2026-07</t>
        </is>
      </c>
      <c r="E405" s="11" t="b">
        <v>1</v>
      </c>
      <c r="F405" s="11" t="b">
        <v>1</v>
      </c>
      <c r="G405" s="11" t="b">
        <v>1</v>
      </c>
      <c r="H405" s="11" t="b">
        <v>1</v>
      </c>
      <c r="I405" s="11" t="b">
        <v>1</v>
      </c>
      <c r="J405" s="11" t="b">
        <v>0</v>
      </c>
      <c r="K405" s="11" t="b">
        <v>1</v>
      </c>
      <c r="L405" s="11" t="b">
        <v>1</v>
      </c>
      <c r="M405" s="11" t="b">
        <v>1</v>
      </c>
      <c r="N405" s="11" t="b">
        <v>1</v>
      </c>
      <c r="O405" s="11" t="n">
        <v>1</v>
      </c>
      <c r="P405" s="11" t="n">
        <v>1</v>
      </c>
      <c r="Q405" s="11" t="n">
        <v>0</v>
      </c>
      <c r="R405" s="11" t="n"/>
      <c r="S405" s="24" t="n">
        <v>46235</v>
      </c>
      <c r="T405" s="24" t="n">
        <v>46235</v>
      </c>
      <c r="U405" s="11" t="n">
        <v>0</v>
      </c>
      <c r="V405" s="12" t="n">
        <v>0</v>
      </c>
      <c r="W405" s="11" t="inlineStr">
        <is>
          <t>169mjJV7dItp07NkH</t>
        </is>
      </c>
      <c r="X405" s="12" t="n">
        <v>130</v>
      </c>
      <c r="Y405" s="11" t="inlineStr">
        <is>
          <t>active</t>
        </is>
      </c>
      <c r="Z405" s="11" t="inlineStr">
        <is>
          <t>gbp</t>
        </is>
      </c>
    </row>
    <row r="406">
      <c r="A406" s="8" t="inlineStr">
        <is>
          <t>1960e66e-331d-413f-8bab-4611a2e96e4d</t>
        </is>
      </c>
      <c r="B406" s="8" t="inlineStr">
        <is>
          <t>Belladonna laser&amp;skin clinic</t>
        </is>
      </c>
      <c r="C406" s="23" t="n">
        <v>46224</v>
      </c>
      <c r="D406" s="8" t="inlineStr">
        <is>
          <t>2026-07</t>
        </is>
      </c>
      <c r="E406" s="8" t="b">
        <v>1</v>
      </c>
      <c r="F406" s="8" t="b">
        <v>1</v>
      </c>
      <c r="G406" s="8" t="b">
        <v>1</v>
      </c>
      <c r="H406" s="8" t="b">
        <v>1</v>
      </c>
      <c r="I406" s="8" t="b">
        <v>1</v>
      </c>
      <c r="J406" s="8" t="b">
        <v>0</v>
      </c>
      <c r="K406" s="8" t="b">
        <v>1</v>
      </c>
      <c r="L406" s="8" t="b">
        <v>1</v>
      </c>
      <c r="M406" s="8" t="b">
        <v>1</v>
      </c>
      <c r="N406" s="8" t="b">
        <v>1</v>
      </c>
      <c r="O406" s="8" t="n">
        <v>10</v>
      </c>
      <c r="P406" s="8" t="n">
        <v>2</v>
      </c>
      <c r="Q406" s="8" t="n">
        <v>0</v>
      </c>
      <c r="R406" s="8" t="n"/>
      <c r="S406" s="23" t="n">
        <v>46227</v>
      </c>
      <c r="T406" s="23" t="n">
        <v>46236</v>
      </c>
      <c r="U406" s="8" t="n">
        <v>0</v>
      </c>
      <c r="V406" s="9" t="n">
        <v>0</v>
      </c>
      <c r="W406" s="8" t="inlineStr">
        <is>
          <t>cus_P8e3k6k1XxnZpw</t>
        </is>
      </c>
      <c r="X406" s="9" t="n">
        <v>199</v>
      </c>
      <c r="Y406" s="8" t="inlineStr">
        <is>
          <t>active</t>
        </is>
      </c>
      <c r="Z406" s="8" t="inlineStr">
        <is>
          <t>gbp</t>
        </is>
      </c>
    </row>
    <row r="407">
      <c r="A407" s="11" t="inlineStr">
        <is>
          <t>535f7480-be15-4639-92ba-380762fc7922</t>
        </is>
      </c>
      <c r="B407" s="11" t="inlineStr">
        <is>
          <t>Natasha Photography</t>
        </is>
      </c>
      <c r="C407" s="24" t="n">
        <v>46224</v>
      </c>
      <c r="D407" s="11" t="inlineStr">
        <is>
          <t>2026-07</t>
        </is>
      </c>
      <c r="E407" s="11" t="b">
        <v>1</v>
      </c>
      <c r="F407" s="11" t="b">
        <v>1</v>
      </c>
      <c r="G407" s="11" t="b">
        <v>1</v>
      </c>
      <c r="H407" s="11" t="b">
        <v>1</v>
      </c>
      <c r="I407" s="11" t="b">
        <v>1</v>
      </c>
      <c r="J407" s="11" t="b">
        <v>0</v>
      </c>
      <c r="K407" s="11" t="b">
        <v>1</v>
      </c>
      <c r="L407" s="11" t="b">
        <v>1</v>
      </c>
      <c r="M407" s="11" t="b">
        <v>1</v>
      </c>
      <c r="N407" s="11" t="b">
        <v>1</v>
      </c>
      <c r="O407" s="11" t="n">
        <v>2</v>
      </c>
      <c r="P407" s="11" t="n">
        <v>1</v>
      </c>
      <c r="Q407" s="11" t="n">
        <v>0</v>
      </c>
      <c r="R407" s="11" t="n"/>
      <c r="S407" s="24" t="n">
        <v>46224</v>
      </c>
      <c r="T407" s="24" t="n">
        <v>46224</v>
      </c>
      <c r="U407" s="11" t="n">
        <v>1</v>
      </c>
      <c r="V407" s="12" t="n">
        <v>180</v>
      </c>
      <c r="W407" s="11" t="inlineStr">
        <is>
          <t>AzyogfVQ0qw4M1Gnv</t>
        </is>
      </c>
      <c r="X407" s="12" t="n"/>
      <c r="Y407" s="11" t="inlineStr">
        <is>
          <t>cancelled</t>
        </is>
      </c>
      <c r="Z407" s="11" t="inlineStr">
        <is>
          <t>gbp_logs</t>
        </is>
      </c>
    </row>
    <row r="408">
      <c r="A408" s="8" t="inlineStr">
        <is>
          <t>de72b63f-3389-4c7a-85df-679a9daaeeb6</t>
        </is>
      </c>
      <c r="B408" s="8" t="inlineStr">
        <is>
          <t>Korean Massage by Maya</t>
        </is>
      </c>
      <c r="C408" s="23" t="n">
        <v>46224</v>
      </c>
      <c r="D408" s="8" t="inlineStr">
        <is>
          <t>2026-07</t>
        </is>
      </c>
      <c r="E408" s="8" t="b">
        <v>1</v>
      </c>
      <c r="F408" s="8" t="b">
        <v>1</v>
      </c>
      <c r="G408" s="8" t="b">
        <v>1</v>
      </c>
      <c r="H408" s="8" t="b">
        <v>1</v>
      </c>
      <c r="I408" s="8" t="b">
        <v>1</v>
      </c>
      <c r="J408" s="8" t="b">
        <v>0</v>
      </c>
      <c r="K408" s="8" t="b">
        <v>1</v>
      </c>
      <c r="L408" s="8" t="b">
        <v>1</v>
      </c>
      <c r="M408" s="8" t="b">
        <v>1</v>
      </c>
      <c r="N408" s="8" t="b">
        <v>1</v>
      </c>
      <c r="O408" s="8" t="n">
        <v>59</v>
      </c>
      <c r="P408" s="8" t="n">
        <v>2</v>
      </c>
      <c r="Q408" s="8" t="n">
        <v>0</v>
      </c>
      <c r="R408" s="8" t="n"/>
      <c r="S408" s="23" t="n">
        <v>46224</v>
      </c>
      <c r="T408" s="23" t="n">
        <v>46237</v>
      </c>
      <c r="U408" s="8" t="n">
        <v>0</v>
      </c>
      <c r="V408" s="9" t="n">
        <v>0</v>
      </c>
      <c r="W408" s="8" t="inlineStr">
        <is>
          <t>Azqf3iV2CI26pM0pc</t>
        </is>
      </c>
      <c r="X408" s="9" t="n">
        <v>199</v>
      </c>
      <c r="Y408" s="8" t="inlineStr">
        <is>
          <t>active</t>
        </is>
      </c>
      <c r="Z408" s="8" t="inlineStr">
        <is>
          <t>gbp</t>
        </is>
      </c>
    </row>
    <row r="409">
      <c r="A409" s="11" t="inlineStr">
        <is>
          <t>4211fefc-c7a1-4e44-92c0-809e04728c98</t>
        </is>
      </c>
      <c r="B409" s="11" t="inlineStr">
        <is>
          <t>Natasha juice centre</t>
        </is>
      </c>
      <c r="C409" s="24" t="n">
        <v>46224</v>
      </c>
      <c r="D409" s="11" t="inlineStr">
        <is>
          <t>2026-07</t>
        </is>
      </c>
      <c r="E409" s="11" t="b">
        <v>1</v>
      </c>
      <c r="F409" s="11" t="b">
        <v>1</v>
      </c>
      <c r="G409" s="11" t="b">
        <v>1</v>
      </c>
      <c r="H409" s="11" t="b">
        <v>1</v>
      </c>
      <c r="I409" s="11" t="b">
        <v>1</v>
      </c>
      <c r="J409" s="11" t="b">
        <v>0</v>
      </c>
      <c r="K409" s="11" t="b">
        <v>1</v>
      </c>
      <c r="L409" s="11" t="b">
        <v>1</v>
      </c>
      <c r="M409" s="11" t="b">
        <v>1</v>
      </c>
      <c r="N409" s="11" t="b">
        <v>1</v>
      </c>
      <c r="O409" s="11" t="n">
        <v>3</v>
      </c>
      <c r="P409" s="11" t="n">
        <v>2</v>
      </c>
      <c r="Q409" s="11" t="n">
        <v>0</v>
      </c>
      <c r="R409" s="11" t="n"/>
      <c r="S409" s="24" t="n">
        <v>46224</v>
      </c>
      <c r="T409" s="24" t="n">
        <v>46224</v>
      </c>
      <c r="U409" s="11" t="n">
        <v>0</v>
      </c>
      <c r="V409" s="12" t="n">
        <v>0</v>
      </c>
      <c r="W409" s="11" t="inlineStr">
        <is>
          <t>Azz2DOVQ0voKa1Phw</t>
        </is>
      </c>
      <c r="X409" s="12" t="n"/>
      <c r="Y409" s="11" t="inlineStr">
        <is>
          <t>cancelled</t>
        </is>
      </c>
      <c r="Z409" s="11" t="inlineStr">
        <is>
          <t>chargebee_company</t>
        </is>
      </c>
    </row>
    <row r="410">
      <c r="A410" s="8" t="inlineStr">
        <is>
          <t>b7727b5b-fe0b-4b9e-938f-24eb80ee6917</t>
        </is>
      </c>
      <c r="B410" s="8" t="inlineStr">
        <is>
          <t>The Braiding Place Elgin</t>
        </is>
      </c>
      <c r="C410" s="23" t="n">
        <v>46224</v>
      </c>
      <c r="D410" s="8" t="inlineStr">
        <is>
          <t>2026-07</t>
        </is>
      </c>
      <c r="E410" s="8" t="b">
        <v>1</v>
      </c>
      <c r="F410" s="8" t="b">
        <v>1</v>
      </c>
      <c r="G410" s="8" t="b">
        <v>0</v>
      </c>
      <c r="H410" s="8" t="b">
        <v>0</v>
      </c>
      <c r="I410" s="8" t="b">
        <v>0</v>
      </c>
      <c r="J410" s="8" t="b">
        <v>0</v>
      </c>
      <c r="K410" s="8" t="b">
        <v>0</v>
      </c>
      <c r="L410" s="8" t="b">
        <v>0</v>
      </c>
      <c r="M410" s="8" t="b">
        <v>0</v>
      </c>
      <c r="N410" s="8" t="b">
        <v>0</v>
      </c>
      <c r="O410" s="8" t="n">
        <v>0</v>
      </c>
      <c r="P410" s="8" t="n">
        <v>0</v>
      </c>
      <c r="Q410" s="8" t="n">
        <v>0</v>
      </c>
      <c r="R410" s="8" t="n"/>
      <c r="S410" s="23" t="n"/>
      <c r="T410" s="23" t="n"/>
      <c r="U410" s="8" t="n">
        <v>0</v>
      </c>
      <c r="V410" s="9" t="n">
        <v>0</v>
      </c>
      <c r="W410" s="8" t="inlineStr">
        <is>
          <t>16AqoWV0sJKTV395H</t>
        </is>
      </c>
      <c r="X410" s="9" t="n">
        <v>199</v>
      </c>
      <c r="Y410" s="8" t="inlineStr">
        <is>
          <t>active</t>
        </is>
      </c>
      <c r="Z410" s="8" t="inlineStr">
        <is>
          <t>gbp</t>
        </is>
      </c>
    </row>
    <row r="411">
      <c r="A411" s="11" t="inlineStr">
        <is>
          <t>3fab3243-202a-4ff1-9fe3-298c3c592322</t>
        </is>
      </c>
      <c r="B411" s="11" t="inlineStr">
        <is>
          <t>BB Meme Salon Hillcrest</t>
        </is>
      </c>
      <c r="C411" s="24" t="n">
        <v>46224</v>
      </c>
      <c r="D411" s="11" t="inlineStr">
        <is>
          <t>2026-07</t>
        </is>
      </c>
      <c r="E411" s="11" t="b">
        <v>1</v>
      </c>
      <c r="F411" s="11" t="b">
        <v>1</v>
      </c>
      <c r="G411" s="11" t="b">
        <v>1</v>
      </c>
      <c r="H411" s="11" t="b">
        <v>1</v>
      </c>
      <c r="I411" s="11" t="b">
        <v>1</v>
      </c>
      <c r="J411" s="11" t="b">
        <v>0</v>
      </c>
      <c r="K411" s="11" t="b">
        <v>1</v>
      </c>
      <c r="L411" s="11" t="b">
        <v>1</v>
      </c>
      <c r="M411" s="11" t="b">
        <v>1</v>
      </c>
      <c r="N411" s="11" t="b">
        <v>1</v>
      </c>
      <c r="O411" s="11" t="n">
        <v>0</v>
      </c>
      <c r="P411" s="11" t="n">
        <v>0</v>
      </c>
      <c r="Q411" s="11" t="n">
        <v>0</v>
      </c>
      <c r="R411" s="11" t="n"/>
      <c r="S411" s="24" t="n"/>
      <c r="T411" s="24" t="n"/>
      <c r="U411" s="11" t="n">
        <v>0</v>
      </c>
      <c r="V411" s="12" t="n">
        <v>0</v>
      </c>
      <c r="W411" s="11" t="inlineStr">
        <is>
          <t>AzZRuuUxGU9oZ181F</t>
        </is>
      </c>
      <c r="X411" s="12" t="n">
        <v>249</v>
      </c>
      <c r="Y411" s="11" t="inlineStr">
        <is>
          <t>active</t>
        </is>
      </c>
      <c r="Z411" s="11" t="inlineStr">
        <is>
          <t>gbp</t>
        </is>
      </c>
    </row>
    <row r="412">
      <c r="A412" s="8" t="inlineStr">
        <is>
          <t>9f64bf3a-7a9e-414f-8de4-d49cc793c741</t>
        </is>
      </c>
      <c r="B412" s="8" t="inlineStr">
        <is>
          <t>Sara Ochoa Hair</t>
        </is>
      </c>
      <c r="C412" s="23" t="n">
        <v>46224</v>
      </c>
      <c r="D412" s="8" t="inlineStr">
        <is>
          <t>2026-07</t>
        </is>
      </c>
      <c r="E412" s="8" t="b">
        <v>1</v>
      </c>
      <c r="F412" s="8" t="b">
        <v>1</v>
      </c>
      <c r="G412" s="8" t="b">
        <v>1</v>
      </c>
      <c r="H412" s="8" t="b">
        <v>1</v>
      </c>
      <c r="I412" s="8" t="b">
        <v>1</v>
      </c>
      <c r="J412" s="8" t="b">
        <v>0</v>
      </c>
      <c r="K412" s="8" t="b">
        <v>1</v>
      </c>
      <c r="L412" s="8" t="b">
        <v>1</v>
      </c>
      <c r="M412" s="8" t="b">
        <v>1</v>
      </c>
      <c r="N412" s="8" t="b">
        <v>1</v>
      </c>
      <c r="O412" s="8" t="n">
        <v>38</v>
      </c>
      <c r="P412" s="8" t="n">
        <v>2</v>
      </c>
      <c r="Q412" s="8" t="n">
        <v>0</v>
      </c>
      <c r="R412" s="8" t="n"/>
      <c r="S412" s="23" t="n">
        <v>46224</v>
      </c>
      <c r="T412" s="23" t="n">
        <v>46236</v>
      </c>
      <c r="U412" s="8" t="n">
        <v>0</v>
      </c>
      <c r="V412" s="9" t="n">
        <v>0</v>
      </c>
      <c r="W412" s="8" t="inlineStr">
        <is>
          <t>cus_RFqIZAk2ekY15q</t>
        </is>
      </c>
      <c r="X412" s="9" t="n">
        <v>99</v>
      </c>
      <c r="Y412" s="8" t="inlineStr">
        <is>
          <t>active</t>
        </is>
      </c>
      <c r="Z412" s="8" t="inlineStr">
        <is>
          <t>gbp</t>
        </is>
      </c>
    </row>
    <row r="413">
      <c r="A413" s="11" t="inlineStr">
        <is>
          <t>952b38d0-193b-4b5f-9c85-9f501ed3396b</t>
        </is>
      </c>
      <c r="B413" s="11" t="inlineStr">
        <is>
          <t>Massage Bliss</t>
        </is>
      </c>
      <c r="C413" s="24" t="n">
        <v>46224</v>
      </c>
      <c r="D413" s="11" t="inlineStr">
        <is>
          <t>2026-07</t>
        </is>
      </c>
      <c r="E413" s="11" t="b">
        <v>1</v>
      </c>
      <c r="F413" s="11" t="b">
        <v>1</v>
      </c>
      <c r="G413" s="11" t="b">
        <v>1</v>
      </c>
      <c r="H413" s="11" t="b">
        <v>1</v>
      </c>
      <c r="I413" s="11" t="b">
        <v>1</v>
      </c>
      <c r="J413" s="11" t="b">
        <v>0</v>
      </c>
      <c r="K413" s="11" t="b">
        <v>1</v>
      </c>
      <c r="L413" s="11" t="b">
        <v>1</v>
      </c>
      <c r="M413" s="11" t="b">
        <v>1</v>
      </c>
      <c r="N413" s="11" t="b">
        <v>1</v>
      </c>
      <c r="O413" s="11" t="n">
        <v>6</v>
      </c>
      <c r="P413" s="11" t="n">
        <v>2</v>
      </c>
      <c r="Q413" s="11" t="n">
        <v>4088</v>
      </c>
      <c r="R413" s="11" t="inlineStr">
        <is>
          <t>BOOKSY</t>
        </is>
      </c>
      <c r="S413" s="24" t="n">
        <v>46230</v>
      </c>
      <c r="T413" s="24" t="n">
        <v>46233</v>
      </c>
      <c r="U413" s="11" t="n">
        <v>0</v>
      </c>
      <c r="V413" s="12" t="n">
        <v>0</v>
      </c>
      <c r="W413" s="11" t="inlineStr">
        <is>
          <t>cus_U01K0EoGjlps8K</t>
        </is>
      </c>
      <c r="X413" s="12" t="n">
        <v>250</v>
      </c>
      <c r="Y413" s="11" t="inlineStr">
        <is>
          <t>active</t>
        </is>
      </c>
      <c r="Z413" s="11" t="inlineStr">
        <is>
          <t>gbp</t>
        </is>
      </c>
    </row>
    <row r="414">
      <c r="A414" s="8" t="inlineStr">
        <is>
          <t>36c9fe41-8b17-4abe-8640-31f66db2c5cb</t>
        </is>
      </c>
      <c r="B414" s="8" t="inlineStr">
        <is>
          <t>Saxena spa salon gsisg</t>
        </is>
      </c>
      <c r="C414" s="23" t="n">
        <v>46225</v>
      </c>
      <c r="D414" s="8" t="inlineStr">
        <is>
          <t>2026-07</t>
        </is>
      </c>
      <c r="E414" s="8" t="b">
        <v>1</v>
      </c>
      <c r="F414" s="8" t="b">
        <v>1</v>
      </c>
      <c r="G414" s="8" t="b">
        <v>1</v>
      </c>
      <c r="H414" s="8" t="b">
        <v>1</v>
      </c>
      <c r="I414" s="8" t="b">
        <v>1</v>
      </c>
      <c r="J414" s="8" t="b">
        <v>0</v>
      </c>
      <c r="K414" s="8" t="b">
        <v>1</v>
      </c>
      <c r="L414" s="8" t="b">
        <v>1</v>
      </c>
      <c r="M414" s="8" t="b">
        <v>1</v>
      </c>
      <c r="N414" s="8" t="b">
        <v>1</v>
      </c>
      <c r="O414" s="8" t="n">
        <v>13</v>
      </c>
      <c r="P414" s="8" t="n">
        <v>3</v>
      </c>
      <c r="Q414" s="8" t="n">
        <v>0</v>
      </c>
      <c r="R414" s="8" t="n"/>
      <c r="S414" s="23" t="n">
        <v>46225</v>
      </c>
      <c r="T414" s="23" t="n">
        <v>46227</v>
      </c>
      <c r="U414" s="8" t="n">
        <v>6</v>
      </c>
      <c r="V414" s="9" t="n">
        <v>914.4</v>
      </c>
      <c r="W414" s="8" t="inlineStr">
        <is>
          <t>AzqYAaVQ6c2bG1BYB</t>
        </is>
      </c>
      <c r="X414" s="9" t="n"/>
      <c r="Y414" s="8" t="inlineStr">
        <is>
          <t>cancelled</t>
        </is>
      </c>
      <c r="Z414" s="8" t="inlineStr">
        <is>
          <t>gbp_logs</t>
        </is>
      </c>
    </row>
    <row r="415">
      <c r="A415" s="11" t="inlineStr">
        <is>
          <t>50b3b676-83b0-4908-baef-bb7127ba557b</t>
        </is>
      </c>
      <c r="B415" s="11" t="inlineStr">
        <is>
          <t>BH MASSAGE</t>
        </is>
      </c>
      <c r="C415" s="24" t="n">
        <v>46225</v>
      </c>
      <c r="D415" s="11" t="inlineStr">
        <is>
          <t>2026-07</t>
        </is>
      </c>
      <c r="E415" s="11" t="b">
        <v>1</v>
      </c>
      <c r="F415" s="11" t="b">
        <v>1</v>
      </c>
      <c r="G415" s="11" t="b">
        <v>1</v>
      </c>
      <c r="H415" s="11" t="b">
        <v>1</v>
      </c>
      <c r="I415" s="11" t="b">
        <v>1</v>
      </c>
      <c r="J415" s="11" t="b">
        <v>0</v>
      </c>
      <c r="K415" s="11" t="b">
        <v>0</v>
      </c>
      <c r="L415" s="11" t="b">
        <v>0</v>
      </c>
      <c r="M415" s="11" t="b">
        <v>0</v>
      </c>
      <c r="N415" s="11" t="b">
        <v>0</v>
      </c>
      <c r="O415" s="11" t="n">
        <v>0</v>
      </c>
      <c r="P415" s="11" t="n">
        <v>0</v>
      </c>
      <c r="Q415" s="11" t="n">
        <v>0</v>
      </c>
      <c r="R415" s="11" t="n"/>
      <c r="S415" s="24" t="n"/>
      <c r="T415" s="24" t="n"/>
      <c r="U415" s="11" t="n">
        <v>0</v>
      </c>
      <c r="V415" s="12" t="n">
        <v>0</v>
      </c>
      <c r="W415" s="11" t="inlineStr">
        <is>
          <t>cus_RnXFNccC3jpWno</t>
        </is>
      </c>
      <c r="X415" s="12" t="n">
        <v>179</v>
      </c>
      <c r="Y415" s="11" t="inlineStr">
        <is>
          <t>active</t>
        </is>
      </c>
      <c r="Z415" s="11" t="inlineStr">
        <is>
          <t>gbp</t>
        </is>
      </c>
    </row>
    <row r="416">
      <c r="A416" s="8" t="inlineStr">
        <is>
          <t>337bf9a0-24ed-47ea-a826-4905e8cffe4e</t>
        </is>
      </c>
      <c r="B416" s="8" t="inlineStr">
        <is>
          <t>Concierge Health and Wellness Massage &amp; Spa Ltd Co</t>
        </is>
      </c>
      <c r="C416" s="23" t="n">
        <v>46225</v>
      </c>
      <c r="D416" s="8" t="inlineStr">
        <is>
          <t>2026-07</t>
        </is>
      </c>
      <c r="E416" s="8" t="b">
        <v>1</v>
      </c>
      <c r="F416" s="8" t="b">
        <v>1</v>
      </c>
      <c r="G416" s="8" t="b">
        <v>1</v>
      </c>
      <c r="H416" s="8" t="b">
        <v>1</v>
      </c>
      <c r="I416" s="8" t="b">
        <v>1</v>
      </c>
      <c r="J416" s="8" t="b">
        <v>0</v>
      </c>
      <c r="K416" s="8" t="b">
        <v>1</v>
      </c>
      <c r="L416" s="8" t="b">
        <v>1</v>
      </c>
      <c r="M416" s="8" t="b">
        <v>1</v>
      </c>
      <c r="N416" s="8" t="b">
        <v>1</v>
      </c>
      <c r="O416" s="8" t="n">
        <v>4</v>
      </c>
      <c r="P416" s="8" t="n">
        <v>4</v>
      </c>
      <c r="Q416" s="8" t="n">
        <v>0</v>
      </c>
      <c r="R416" s="8" t="n"/>
      <c r="S416" s="23" t="n">
        <v>46225</v>
      </c>
      <c r="T416" s="23" t="n">
        <v>46235</v>
      </c>
      <c r="U416" s="8" t="n">
        <v>0</v>
      </c>
      <c r="V416" s="9" t="n">
        <v>0</v>
      </c>
      <c r="W416" s="8" t="inlineStr">
        <is>
          <t>AzqYAaVQ7wSKw20Lh</t>
        </is>
      </c>
      <c r="X416" s="9" t="n"/>
      <c r="Y416" s="8" t="inlineStr">
        <is>
          <t>in_trial</t>
        </is>
      </c>
      <c r="Z416" s="8" t="inlineStr">
        <is>
          <t>gbp</t>
        </is>
      </c>
    </row>
    <row r="417">
      <c r="A417" s="11" t="inlineStr">
        <is>
          <t>698da6f0-8dce-420d-9555-80df7c31d51f</t>
        </is>
      </c>
      <c r="B417" s="11" t="inlineStr">
        <is>
          <t>Hairbygino</t>
        </is>
      </c>
      <c r="C417" s="24" t="n">
        <v>46225</v>
      </c>
      <c r="D417" s="11" t="inlineStr">
        <is>
          <t>2026-07</t>
        </is>
      </c>
      <c r="E417" s="11" t="b">
        <v>1</v>
      </c>
      <c r="F417" s="11" t="b">
        <v>1</v>
      </c>
      <c r="G417" s="11" t="b">
        <v>1</v>
      </c>
      <c r="H417" s="11" t="b">
        <v>1</v>
      </c>
      <c r="I417" s="11" t="b">
        <v>1</v>
      </c>
      <c r="J417" s="11" t="b">
        <v>0</v>
      </c>
      <c r="K417" s="11" t="b">
        <v>1</v>
      </c>
      <c r="L417" s="11" t="b">
        <v>1</v>
      </c>
      <c r="M417" s="11" t="b">
        <v>1</v>
      </c>
      <c r="N417" s="11" t="b">
        <v>1</v>
      </c>
      <c r="O417" s="11" t="n">
        <v>0</v>
      </c>
      <c r="P417" s="11" t="n">
        <v>0</v>
      </c>
      <c r="Q417" s="11" t="n">
        <v>0</v>
      </c>
      <c r="R417" s="11" t="n"/>
      <c r="S417" s="24" t="n"/>
      <c r="T417" s="24" t="n"/>
      <c r="U417" s="11" t="n">
        <v>0</v>
      </c>
      <c r="V417" s="12" t="n">
        <v>0</v>
      </c>
      <c r="W417" s="11" t="inlineStr">
        <is>
          <t>AzydCSUv76K9U3ddC</t>
        </is>
      </c>
      <c r="X417" s="12" t="n">
        <v>149</v>
      </c>
      <c r="Y417" s="11" t="inlineStr">
        <is>
          <t>active</t>
        </is>
      </c>
      <c r="Z417" s="11" t="inlineStr">
        <is>
          <t>gbp</t>
        </is>
      </c>
    </row>
    <row r="418">
      <c r="A418" s="8" t="inlineStr">
        <is>
          <t>a1a30946-f8c4-4198-a1c2-957e48bedf90</t>
        </is>
      </c>
      <c r="B418" s="8" t="inlineStr">
        <is>
          <t>Natasha Braids</t>
        </is>
      </c>
      <c r="C418" s="23" t="n">
        <v>46226</v>
      </c>
      <c r="D418" s="8" t="inlineStr">
        <is>
          <t>2026-07</t>
        </is>
      </c>
      <c r="E418" s="8" t="b">
        <v>1</v>
      </c>
      <c r="F418" s="8" t="b">
        <v>1</v>
      </c>
      <c r="G418" s="8" t="b">
        <v>1</v>
      </c>
      <c r="H418" s="8" t="b">
        <v>1</v>
      </c>
      <c r="I418" s="8" t="b">
        <v>1</v>
      </c>
      <c r="J418" s="8" t="b">
        <v>0</v>
      </c>
      <c r="K418" s="8" t="b">
        <v>1</v>
      </c>
      <c r="L418" s="8" t="b">
        <v>1</v>
      </c>
      <c r="M418" s="8" t="b">
        <v>1</v>
      </c>
      <c r="N418" s="8" t="b">
        <v>1</v>
      </c>
      <c r="O418" s="8" t="n">
        <v>0</v>
      </c>
      <c r="P418" s="8" t="n">
        <v>0</v>
      </c>
      <c r="Q418" s="8" t="n">
        <v>0</v>
      </c>
      <c r="R418" s="8" t="n"/>
      <c r="S418" s="23" t="n"/>
      <c r="T418" s="23" t="n"/>
      <c r="U418" s="8" t="n">
        <v>0</v>
      </c>
      <c r="V418" s="9" t="n">
        <v>0</v>
      </c>
      <c r="W418" s="8" t="inlineStr">
        <is>
          <t>16Bjl5VQCj8kd1PN0</t>
        </is>
      </c>
      <c r="X418" s="9" t="n"/>
      <c r="Y418" s="8" t="inlineStr">
        <is>
          <t>cancelled</t>
        </is>
      </c>
      <c r="Z418" s="8" t="inlineStr">
        <is>
          <t>gbp_logs</t>
        </is>
      </c>
    </row>
    <row r="419">
      <c r="A419" s="11" t="inlineStr">
        <is>
          <t>8c7ab768-1356-4651-9a2f-11201d108975</t>
        </is>
      </c>
      <c r="B419" s="11" t="inlineStr">
        <is>
          <t>Natasha service centre</t>
        </is>
      </c>
      <c r="C419" s="24" t="n">
        <v>46226</v>
      </c>
      <c r="D419" s="11" t="inlineStr">
        <is>
          <t>2026-07</t>
        </is>
      </c>
      <c r="E419" s="11" t="b">
        <v>1</v>
      </c>
      <c r="F419" s="11" t="b">
        <v>1</v>
      </c>
      <c r="G419" s="11" t="b">
        <v>1</v>
      </c>
      <c r="H419" s="11" t="b">
        <v>1</v>
      </c>
      <c r="I419" s="11" t="b">
        <v>1</v>
      </c>
      <c r="J419" s="11" t="b">
        <v>0</v>
      </c>
      <c r="K419" s="11" t="b">
        <v>1</v>
      </c>
      <c r="L419" s="11" t="b">
        <v>1</v>
      </c>
      <c r="M419" s="11" t="b">
        <v>1</v>
      </c>
      <c r="N419" s="11" t="b">
        <v>1</v>
      </c>
      <c r="O419" s="11" t="n">
        <v>0</v>
      </c>
      <c r="P419" s="11" t="n">
        <v>0</v>
      </c>
      <c r="Q419" s="11" t="n">
        <v>0</v>
      </c>
      <c r="R419" s="11" t="n"/>
      <c r="S419" s="24" t="n"/>
      <c r="T419" s="24" t="n"/>
      <c r="U419" s="11" t="n">
        <v>0</v>
      </c>
      <c r="V419" s="12" t="n">
        <v>0</v>
      </c>
      <c r="W419" s="11" t="inlineStr">
        <is>
          <t>6ojx5VQClntd1RQ5</t>
        </is>
      </c>
      <c r="X419" s="12" t="n"/>
      <c r="Y419" s="11" t="inlineStr">
        <is>
          <t>cancelled</t>
        </is>
      </c>
      <c r="Z419" s="11" t="inlineStr">
        <is>
          <t>chargebee_company</t>
        </is>
      </c>
    </row>
    <row r="420">
      <c r="A420" s="8" t="inlineStr">
        <is>
          <t>a8d07261-acd3-42bd-a0b6-fc470558e89c</t>
        </is>
      </c>
      <c r="B420" s="8" t="inlineStr">
        <is>
          <t>Connected Health Plano</t>
        </is>
      </c>
      <c r="C420" s="23" t="n">
        <v>46226</v>
      </c>
      <c r="D420" s="8" t="inlineStr">
        <is>
          <t>2026-07</t>
        </is>
      </c>
      <c r="E420" s="8" t="b">
        <v>1</v>
      </c>
      <c r="F420" s="8" t="b">
        <v>1</v>
      </c>
      <c r="G420" s="8" t="b">
        <v>1</v>
      </c>
      <c r="H420" s="8" t="b">
        <v>1</v>
      </c>
      <c r="I420" s="8" t="b">
        <v>1</v>
      </c>
      <c r="J420" s="8" t="b">
        <v>0</v>
      </c>
      <c r="K420" s="8" t="b">
        <v>0</v>
      </c>
      <c r="L420" s="8" t="b">
        <v>0</v>
      </c>
      <c r="M420" s="8" t="b">
        <v>0</v>
      </c>
      <c r="N420" s="8" t="b">
        <v>0</v>
      </c>
      <c r="O420" s="8" t="n">
        <v>2</v>
      </c>
      <c r="P420" s="8" t="n">
        <v>2</v>
      </c>
      <c r="Q420" s="8" t="n">
        <v>0</v>
      </c>
      <c r="R420" s="8" t="n"/>
      <c r="S420" s="23" t="n">
        <v>46233</v>
      </c>
      <c r="T420" s="23" t="n">
        <v>46234</v>
      </c>
      <c r="U420" s="8" t="n">
        <v>0</v>
      </c>
      <c r="V420" s="9" t="n">
        <v>0</v>
      </c>
      <c r="W420" s="8" t="inlineStr">
        <is>
          <t>AzZb2QVEA6x0rVhw</t>
        </is>
      </c>
      <c r="X420" s="9" t="n">
        <v>150</v>
      </c>
      <c r="Y420" s="8" t="inlineStr">
        <is>
          <t>active</t>
        </is>
      </c>
      <c r="Z420" s="8" t="inlineStr">
        <is>
          <t>gbp</t>
        </is>
      </c>
    </row>
    <row r="421">
      <c r="A421" s="11" t="inlineStr">
        <is>
          <t>8d738621-63c5-46b5-ac14-47fa11c40644</t>
        </is>
      </c>
      <c r="B421" s="11" t="inlineStr">
        <is>
          <t>Salon Greco The European Day Spa</t>
        </is>
      </c>
      <c r="C421" s="24" t="n">
        <v>46226</v>
      </c>
      <c r="D421" s="11" t="inlineStr">
        <is>
          <t>2026-07</t>
        </is>
      </c>
      <c r="E421" s="11" t="b">
        <v>1</v>
      </c>
      <c r="F421" s="11" t="b">
        <v>1</v>
      </c>
      <c r="G421" s="11" t="b">
        <v>1</v>
      </c>
      <c r="H421" s="11" t="b">
        <v>1</v>
      </c>
      <c r="I421" s="11" t="b">
        <v>1</v>
      </c>
      <c r="J421" s="11" t="b">
        <v>0</v>
      </c>
      <c r="K421" s="11" t="b">
        <v>0</v>
      </c>
      <c r="L421" s="11" t="b">
        <v>0</v>
      </c>
      <c r="M421" s="11" t="b">
        <v>0</v>
      </c>
      <c r="N421" s="11" t="b">
        <v>0</v>
      </c>
      <c r="O421" s="11" t="n">
        <v>0</v>
      </c>
      <c r="P421" s="11" t="n">
        <v>0</v>
      </c>
      <c r="Q421" s="11" t="n">
        <v>0</v>
      </c>
      <c r="R421" s="11" t="n"/>
      <c r="S421" s="24" t="n"/>
      <c r="T421" s="24" t="n"/>
      <c r="U421" s="11" t="n">
        <v>0</v>
      </c>
      <c r="V421" s="12" t="n">
        <v>0</v>
      </c>
      <c r="W421" s="11" t="inlineStr">
        <is>
          <t>AzZve5UxYupoatk7</t>
        </is>
      </c>
      <c r="X421" s="12" t="n">
        <v>249</v>
      </c>
      <c r="Y421" s="11" t="inlineStr">
        <is>
          <t>active</t>
        </is>
      </c>
      <c r="Z421" s="11" t="inlineStr">
        <is>
          <t>gbp</t>
        </is>
      </c>
    </row>
    <row r="422">
      <c r="A422" s="8" t="inlineStr">
        <is>
          <t>dc3528d2-ea47-48e1-984f-5645448541d7</t>
        </is>
      </c>
      <c r="B422" s="8" t="inlineStr">
        <is>
          <t>Prod healthcheck4</t>
        </is>
      </c>
      <c r="C422" s="23" t="n">
        <v>46227</v>
      </c>
      <c r="D422" s="8" t="inlineStr">
        <is>
          <t>2026-07</t>
        </is>
      </c>
      <c r="E422" s="8" t="b">
        <v>1</v>
      </c>
      <c r="F422" s="8" t="b">
        <v>1</v>
      </c>
      <c r="G422" s="8" t="b">
        <v>1</v>
      </c>
      <c r="H422" s="8" t="b">
        <v>1</v>
      </c>
      <c r="I422" s="8" t="b">
        <v>1</v>
      </c>
      <c r="J422" s="8" t="b">
        <v>0</v>
      </c>
      <c r="K422" s="8" t="b">
        <v>1</v>
      </c>
      <c r="L422" s="8" t="b">
        <v>1</v>
      </c>
      <c r="M422" s="8" t="b">
        <v>1</v>
      </c>
      <c r="N422" s="8" t="b">
        <v>1</v>
      </c>
      <c r="O422" s="8" t="n">
        <v>1</v>
      </c>
      <c r="P422" s="8" t="n">
        <v>1</v>
      </c>
      <c r="Q422" s="8" t="n">
        <v>0</v>
      </c>
      <c r="R422" s="8" t="n"/>
      <c r="S422" s="23" t="n">
        <v>46227</v>
      </c>
      <c r="T422" s="23" t="n">
        <v>46227</v>
      </c>
      <c r="U422" s="8" t="n">
        <v>0</v>
      </c>
      <c r="V422" s="9" t="n">
        <v>0</v>
      </c>
      <c r="W422" s="8" t="inlineStr">
        <is>
          <t>AzZTTrVQHzZw213Zj</t>
        </is>
      </c>
      <c r="X422" s="9" t="n"/>
      <c r="Y422" s="8" t="n"/>
      <c r="Z422" s="8" t="inlineStr">
        <is>
          <t>gbp</t>
        </is>
      </c>
    </row>
    <row r="423">
      <c r="A423" s="11" t="inlineStr">
        <is>
          <t>b173854e-144b-4f8d-81cd-4140e4545149</t>
        </is>
      </c>
      <c r="B423" s="11" t="inlineStr">
        <is>
          <t>Saxena spa salon gsisg</t>
        </is>
      </c>
      <c r="C423" s="24" t="n">
        <v>46227</v>
      </c>
      <c r="D423" s="11" t="inlineStr">
        <is>
          <t>2026-07</t>
        </is>
      </c>
      <c r="E423" s="11" t="b">
        <v>1</v>
      </c>
      <c r="F423" s="11" t="b">
        <v>1</v>
      </c>
      <c r="G423" s="11" t="b">
        <v>1</v>
      </c>
      <c r="H423" s="11" t="b">
        <v>1</v>
      </c>
      <c r="I423" s="11" t="b">
        <v>1</v>
      </c>
      <c r="J423" s="11" t="b">
        <v>0</v>
      </c>
      <c r="K423" s="11" t="b">
        <v>1</v>
      </c>
      <c r="L423" s="11" t="b">
        <v>1</v>
      </c>
      <c r="M423" s="11" t="b">
        <v>1</v>
      </c>
      <c r="N423" s="11" t="b">
        <v>1</v>
      </c>
      <c r="O423" s="11" t="n">
        <v>16</v>
      </c>
      <c r="P423" s="11" t="n">
        <v>3</v>
      </c>
      <c r="Q423" s="11" t="n">
        <v>0</v>
      </c>
      <c r="R423" s="11" t="n"/>
      <c r="S423" s="24" t="n">
        <v>46227</v>
      </c>
      <c r="T423" s="24" t="n">
        <v>46232</v>
      </c>
      <c r="U423" s="11" t="n">
        <v>6</v>
      </c>
      <c r="V423" s="12" t="n">
        <v>1524.85</v>
      </c>
      <c r="W423" s="11" t="inlineStr">
        <is>
          <t>AzZqNSVQIDnxb1CPy</t>
        </is>
      </c>
      <c r="X423" s="12" t="n"/>
      <c r="Y423" s="11" t="inlineStr">
        <is>
          <t>cancelled</t>
        </is>
      </c>
      <c r="Z423" s="11" t="inlineStr">
        <is>
          <t>gbp_logs</t>
        </is>
      </c>
    </row>
    <row r="424">
      <c r="A424" s="8" t="inlineStr">
        <is>
          <t>e23ca384-5dca-4e68-b5d5-74fc0b347bd4</t>
        </is>
      </c>
      <c r="B424" s="8" t="inlineStr">
        <is>
          <t>Atlas Bodyworks</t>
        </is>
      </c>
      <c r="C424" s="23" t="n">
        <v>46227</v>
      </c>
      <c r="D424" s="8" t="inlineStr">
        <is>
          <t>2026-07</t>
        </is>
      </c>
      <c r="E424" s="8" t="b">
        <v>1</v>
      </c>
      <c r="F424" s="8" t="b">
        <v>1</v>
      </c>
      <c r="G424" s="8" t="b">
        <v>1</v>
      </c>
      <c r="H424" s="8" t="b">
        <v>1</v>
      </c>
      <c r="I424" s="8" t="b">
        <v>1</v>
      </c>
      <c r="J424" s="8" t="b">
        <v>1</v>
      </c>
      <c r="K424" s="8" t="b">
        <v>0</v>
      </c>
      <c r="L424" s="8" t="b">
        <v>1</v>
      </c>
      <c r="M424" s="8" t="b">
        <v>1</v>
      </c>
      <c r="N424" s="8" t="b">
        <v>1</v>
      </c>
      <c r="O424" s="8" t="n">
        <v>25</v>
      </c>
      <c r="P424" s="8" t="n">
        <v>1</v>
      </c>
      <c r="Q424" s="8" t="n">
        <v>0</v>
      </c>
      <c r="R424" s="8" t="n"/>
      <c r="S424" s="23" t="n">
        <v>46231</v>
      </c>
      <c r="T424" s="23" t="n">
        <v>46235</v>
      </c>
      <c r="U424" s="8" t="n">
        <v>4</v>
      </c>
      <c r="V424" s="9" t="n">
        <v>593.35</v>
      </c>
      <c r="W424" s="8" t="inlineStr">
        <is>
          <t>cus_PynM1ZMkpdmCdg</t>
        </is>
      </c>
      <c r="X424" s="9" t="n">
        <v>149</v>
      </c>
      <c r="Y424" s="8" t="inlineStr">
        <is>
          <t>active</t>
        </is>
      </c>
      <c r="Z424" s="8" t="inlineStr">
        <is>
          <t>gbp</t>
        </is>
      </c>
    </row>
    <row r="425">
      <c r="A425" s="11" t="inlineStr">
        <is>
          <t>46b2cc79-156b-46f1-b7e1-9cb09a01568c</t>
        </is>
      </c>
      <c r="B425" s="11" t="inlineStr">
        <is>
          <t>Hcg Fit</t>
        </is>
      </c>
      <c r="C425" s="24" t="n">
        <v>46227</v>
      </c>
      <c r="D425" s="11" t="inlineStr">
        <is>
          <t>2026-07</t>
        </is>
      </c>
      <c r="E425" s="11" t="b">
        <v>1</v>
      </c>
      <c r="F425" s="11" t="b">
        <v>0</v>
      </c>
      <c r="G425" s="11" t="b">
        <v>0</v>
      </c>
      <c r="H425" s="11" t="b">
        <v>0</v>
      </c>
      <c r="I425" s="11" t="b">
        <v>0</v>
      </c>
      <c r="J425" s="11" t="b">
        <v>0</v>
      </c>
      <c r="K425" s="11" t="b">
        <v>0</v>
      </c>
      <c r="L425" s="11" t="b">
        <v>0</v>
      </c>
      <c r="M425" s="11" t="b">
        <v>0</v>
      </c>
      <c r="N425" s="11" t="b">
        <v>0</v>
      </c>
      <c r="O425" s="11" t="n">
        <v>0</v>
      </c>
      <c r="P425" s="11" t="n">
        <v>0</v>
      </c>
      <c r="Q425" s="11" t="n">
        <v>0</v>
      </c>
      <c r="R425" s="11" t="n"/>
      <c r="S425" s="24" t="n"/>
      <c r="T425" s="24" t="n"/>
      <c r="U425" s="11" t="n">
        <v>0</v>
      </c>
      <c r="V425" s="12" t="n">
        <v>0</v>
      </c>
      <c r="W425" s="11" t="inlineStr">
        <is>
          <t>cus_OLcvcN9f2E2b0P</t>
        </is>
      </c>
      <c r="X425" s="12" t="n">
        <v>149</v>
      </c>
      <c r="Y425" s="11" t="inlineStr">
        <is>
          <t>active</t>
        </is>
      </c>
      <c r="Z425" s="11" t="inlineStr">
        <is>
          <t>gbp</t>
        </is>
      </c>
    </row>
    <row r="426">
      <c r="A426" s="8" t="inlineStr">
        <is>
          <t>ee05d106-2540-460e-a8cb-a9cdf9e3435c</t>
        </is>
      </c>
      <c r="B426" s="8" t="inlineStr">
        <is>
          <t>Worldwide Stretch Therapy</t>
        </is>
      </c>
      <c r="C426" s="23" t="n">
        <v>46227</v>
      </c>
      <c r="D426" s="8" t="inlineStr">
        <is>
          <t>2026-07</t>
        </is>
      </c>
      <c r="E426" s="8" t="b">
        <v>1</v>
      </c>
      <c r="F426" s="8" t="b">
        <v>1</v>
      </c>
      <c r="G426" s="8" t="b">
        <v>1</v>
      </c>
      <c r="H426" s="8" t="b">
        <v>1</v>
      </c>
      <c r="I426" s="8" t="b">
        <v>1</v>
      </c>
      <c r="J426" s="8" t="b">
        <v>1</v>
      </c>
      <c r="K426" s="8" t="b">
        <v>0</v>
      </c>
      <c r="L426" s="8" t="b">
        <v>1</v>
      </c>
      <c r="M426" s="8" t="b">
        <v>1</v>
      </c>
      <c r="N426" s="8" t="b">
        <v>1</v>
      </c>
      <c r="O426" s="8" t="n">
        <v>1</v>
      </c>
      <c r="P426" s="8" t="n">
        <v>1</v>
      </c>
      <c r="Q426" s="8" t="n">
        <v>0</v>
      </c>
      <c r="R426" s="8" t="n"/>
      <c r="S426" s="23" t="n">
        <v>46236</v>
      </c>
      <c r="T426" s="23" t="n">
        <v>46236</v>
      </c>
      <c r="U426" s="8" t="n">
        <v>0</v>
      </c>
      <c r="V426" s="9" t="n">
        <v>0</v>
      </c>
      <c r="W426" s="8" t="inlineStr">
        <is>
          <t>AzZn5LV0JIIXQ2yzp</t>
        </is>
      </c>
      <c r="X426" s="9" t="n">
        <v>149</v>
      </c>
      <c r="Y426" s="8" t="inlineStr">
        <is>
          <t>active</t>
        </is>
      </c>
      <c r="Z426" s="8" t="inlineStr">
        <is>
          <t>gbp</t>
        </is>
      </c>
    </row>
    <row r="427">
      <c r="A427" s="11" t="inlineStr">
        <is>
          <t>cb7b6345-1112-4941-9f8f-0e60689b354b</t>
        </is>
      </c>
      <c r="B427" s="11" t="inlineStr">
        <is>
          <t>I DO UPDO</t>
        </is>
      </c>
      <c r="C427" s="24" t="n">
        <v>46230</v>
      </c>
      <c r="D427" s="11" t="inlineStr">
        <is>
          <t>2026-07</t>
        </is>
      </c>
      <c r="E427" s="11" t="b">
        <v>1</v>
      </c>
      <c r="F427" s="11" t="b">
        <v>1</v>
      </c>
      <c r="G427" s="11" t="b">
        <v>1</v>
      </c>
      <c r="H427" s="11" t="b">
        <v>0</v>
      </c>
      <c r="I427" s="11" t="b">
        <v>0</v>
      </c>
      <c r="J427" s="11" t="b">
        <v>0</v>
      </c>
      <c r="K427" s="11" t="b">
        <v>0</v>
      </c>
      <c r="L427" s="11" t="b">
        <v>0</v>
      </c>
      <c r="M427" s="11" t="b">
        <v>0</v>
      </c>
      <c r="N427" s="11" t="b">
        <v>0</v>
      </c>
      <c r="O427" s="11" t="n">
        <v>0</v>
      </c>
      <c r="P427" s="11" t="n">
        <v>0</v>
      </c>
      <c r="Q427" s="11" t="n">
        <v>0</v>
      </c>
      <c r="R427" s="11" t="n"/>
      <c r="S427" s="24" t="n"/>
      <c r="T427" s="24" t="n"/>
      <c r="U427" s="11" t="n">
        <v>0</v>
      </c>
      <c r="V427" s="12" t="n">
        <v>0</v>
      </c>
      <c r="W427" s="11" t="inlineStr">
        <is>
          <t>AziEzcVQsvXx7R8Y</t>
        </is>
      </c>
      <c r="X427" s="12" t="n">
        <v>150</v>
      </c>
      <c r="Y427" s="11" t="inlineStr">
        <is>
          <t>active</t>
        </is>
      </c>
      <c r="Z427" s="11" t="inlineStr">
        <is>
          <t>gbp</t>
        </is>
      </c>
    </row>
    <row r="428">
      <c r="A428" s="8" t="inlineStr">
        <is>
          <t>e51fba36-59bf-451f-8eef-ccd0a5e1ea4a</t>
        </is>
      </c>
      <c r="B428" s="8" t="inlineStr">
        <is>
          <t>Saxena spa salon gsisg</t>
        </is>
      </c>
      <c r="C428" s="23" t="n">
        <v>46232</v>
      </c>
      <c r="D428" s="8" t="inlineStr">
        <is>
          <t>2026-07</t>
        </is>
      </c>
      <c r="E428" s="8" t="b">
        <v>1</v>
      </c>
      <c r="F428" s="8" t="b">
        <v>1</v>
      </c>
      <c r="G428" s="8" t="b">
        <v>1</v>
      </c>
      <c r="H428" s="8" t="b">
        <v>1</v>
      </c>
      <c r="I428" s="8" t="b">
        <v>1</v>
      </c>
      <c r="J428" s="8" t="b">
        <v>0</v>
      </c>
      <c r="K428" s="8" t="b">
        <v>1</v>
      </c>
      <c r="L428" s="8" t="b">
        <v>1</v>
      </c>
      <c r="M428" s="8" t="b">
        <v>1</v>
      </c>
      <c r="N428" s="8" t="b">
        <v>1</v>
      </c>
      <c r="O428" s="8" t="n">
        <v>3</v>
      </c>
      <c r="P428" s="8" t="n">
        <v>1</v>
      </c>
      <c r="Q428" s="8" t="n">
        <v>0</v>
      </c>
      <c r="R428" s="8" t="n"/>
      <c r="S428" s="23" t="n">
        <v>46232</v>
      </c>
      <c r="T428" s="23" t="n">
        <v>46232</v>
      </c>
      <c r="U428" s="8" t="n">
        <v>1</v>
      </c>
      <c r="V428" s="9" t="n">
        <v>72</v>
      </c>
      <c r="W428" s="8" t="inlineStr">
        <is>
          <t>AzqW44VQlTSqT1DJV</t>
        </is>
      </c>
      <c r="X428" s="9" t="n"/>
      <c r="Y428" s="8" t="inlineStr">
        <is>
          <t>in_trial</t>
        </is>
      </c>
      <c r="Z428" s="8" t="inlineStr">
        <is>
          <t>gbp_logs</t>
        </is>
      </c>
    </row>
    <row r="429">
      <c r="A429" s="11" t="inlineStr">
        <is>
          <t>ec01b198-2806-4abe-b55d-b2265e603b54</t>
        </is>
      </c>
      <c r="B429" s="11" t="inlineStr">
        <is>
          <t>Radiance Aesthetics &amp; Wellness</t>
        </is>
      </c>
      <c r="C429" s="24" t="n">
        <v>46232</v>
      </c>
      <c r="D429" s="11" t="inlineStr">
        <is>
          <t>2026-07</t>
        </is>
      </c>
      <c r="E429" s="11" t="b">
        <v>1</v>
      </c>
      <c r="F429" s="11" t="b">
        <v>1</v>
      </c>
      <c r="G429" s="11" t="b">
        <v>1</v>
      </c>
      <c r="H429" s="11" t="b">
        <v>1</v>
      </c>
      <c r="I429" s="11" t="b">
        <v>1</v>
      </c>
      <c r="J429" s="11" t="b">
        <v>0</v>
      </c>
      <c r="K429" s="11" t="b">
        <v>1</v>
      </c>
      <c r="L429" s="11" t="b">
        <v>1</v>
      </c>
      <c r="M429" s="11" t="b">
        <v>1</v>
      </c>
      <c r="N429" s="11" t="b">
        <v>1</v>
      </c>
      <c r="O429" s="11" t="n">
        <v>2</v>
      </c>
      <c r="P429" s="11" t="n">
        <v>1</v>
      </c>
      <c r="Q429" s="11" t="n">
        <v>0</v>
      </c>
      <c r="R429" s="11" t="n"/>
      <c r="S429" s="24" t="n">
        <v>46232</v>
      </c>
      <c r="T429" s="24" t="n">
        <v>46232</v>
      </c>
      <c r="U429" s="11" t="n">
        <v>1</v>
      </c>
      <c r="V429" s="12" t="n">
        <v>270</v>
      </c>
      <c r="W429" s="11" t="inlineStr">
        <is>
          <t>16BXYlVQlplYC1L1U</t>
        </is>
      </c>
      <c r="X429" s="12" t="n"/>
      <c r="Y429" s="11" t="inlineStr">
        <is>
          <t>in_trial</t>
        </is>
      </c>
      <c r="Z429" s="11" t="inlineStr">
        <is>
          <t>businesses</t>
        </is>
      </c>
    </row>
    <row r="430">
      <c r="A430" s="8" t="inlineStr">
        <is>
          <t>a7740932-5fb3-4911-88b8-ca7f3bb1fdac</t>
        </is>
      </c>
      <c r="B430" s="8" t="inlineStr">
        <is>
          <t>Golden Jade Massage &amp; Healing</t>
        </is>
      </c>
      <c r="C430" s="23" t="n">
        <v>46232</v>
      </c>
      <c r="D430" s="8" t="inlineStr">
        <is>
          <t>2026-07</t>
        </is>
      </c>
      <c r="E430" s="8" t="b">
        <v>1</v>
      </c>
      <c r="F430" s="8" t="b">
        <v>1</v>
      </c>
      <c r="G430" s="8" t="b">
        <v>1</v>
      </c>
      <c r="H430" s="8" t="b">
        <v>1</v>
      </c>
      <c r="I430" s="8" t="b">
        <v>1</v>
      </c>
      <c r="J430" s="8" t="b">
        <v>0</v>
      </c>
      <c r="K430" s="8" t="b">
        <v>1</v>
      </c>
      <c r="L430" s="8" t="b">
        <v>1</v>
      </c>
      <c r="M430" s="8" t="b">
        <v>1</v>
      </c>
      <c r="N430" s="8" t="b">
        <v>1</v>
      </c>
      <c r="O430" s="8" t="n">
        <v>10</v>
      </c>
      <c r="P430" s="8" t="n">
        <v>6</v>
      </c>
      <c r="Q430" s="8" t="n">
        <v>4984</v>
      </c>
      <c r="R430" s="8" t="inlineStr">
        <is>
          <t>FRESHA</t>
        </is>
      </c>
      <c r="S430" s="23" t="n">
        <v>46232</v>
      </c>
      <c r="T430" s="23" t="n">
        <v>46236</v>
      </c>
      <c r="U430" s="8" t="n">
        <v>4425</v>
      </c>
      <c r="V430" s="9" t="n">
        <v>489562</v>
      </c>
      <c r="W430" s="8" t="inlineStr">
        <is>
          <t>cus_RTe7MfHW66YW5P</t>
        </is>
      </c>
      <c r="X430" s="9" t="n">
        <v>349</v>
      </c>
      <c r="Y430" s="8" t="inlineStr">
        <is>
          <t>active</t>
        </is>
      </c>
      <c r="Z430" s="8" t="inlineStr">
        <is>
          <t>gbp</t>
        </is>
      </c>
    </row>
    <row r="431">
      <c r="A431" s="11" t="inlineStr">
        <is>
          <t>00bf7ae1-18f0-41e2-95d2-a08f76cf4abb</t>
        </is>
      </c>
      <c r="B431" s="11" t="inlineStr">
        <is>
          <t>Threading n more Haircut, Hair Color &amp; Facials</t>
        </is>
      </c>
      <c r="C431" s="24" t="n">
        <v>46232</v>
      </c>
      <c r="D431" s="11" t="inlineStr">
        <is>
          <t>2026-07</t>
        </is>
      </c>
      <c r="E431" s="11" t="b">
        <v>1</v>
      </c>
      <c r="F431" s="11" t="b">
        <v>1</v>
      </c>
      <c r="G431" s="11" t="b">
        <v>0</v>
      </c>
      <c r="H431" s="11" t="b">
        <v>0</v>
      </c>
      <c r="I431" s="11" t="b">
        <v>0</v>
      </c>
      <c r="J431" s="11" t="b">
        <v>0</v>
      </c>
      <c r="K431" s="11" t="b">
        <v>0</v>
      </c>
      <c r="L431" s="11" t="b">
        <v>0</v>
      </c>
      <c r="M431" s="11" t="b">
        <v>0</v>
      </c>
      <c r="N431" s="11" t="b">
        <v>0</v>
      </c>
      <c r="O431" s="11" t="n">
        <v>0</v>
      </c>
      <c r="P431" s="11" t="n">
        <v>0</v>
      </c>
      <c r="Q431" s="11" t="n">
        <v>0</v>
      </c>
      <c r="R431" s="11" t="n"/>
      <c r="S431" s="24" t="n"/>
      <c r="T431" s="24" t="n"/>
      <c r="U431" s="11" t="n">
        <v>0</v>
      </c>
      <c r="V431" s="12" t="n">
        <v>0</v>
      </c>
      <c r="W431" s="11" t="inlineStr">
        <is>
          <t>AziCHGUyESjywpao</t>
        </is>
      </c>
      <c r="X431" s="12" t="n">
        <v>99</v>
      </c>
      <c r="Y431" s="11" t="inlineStr">
        <is>
          <t>active</t>
        </is>
      </c>
      <c r="Z431" s="11" t="inlineStr">
        <is>
          <t>gbp</t>
        </is>
      </c>
    </row>
    <row r="432">
      <c r="A432" s="8" t="inlineStr">
        <is>
          <t>8c1f5c73-e91f-4148-95f6-b765ae6647bf</t>
        </is>
      </c>
      <c r="B432" s="8" t="inlineStr">
        <is>
          <t>Pampered Image Beauty Bar &amp; Bridal</t>
        </is>
      </c>
      <c r="C432" s="23" t="n">
        <v>46232</v>
      </c>
      <c r="D432" s="8" t="inlineStr">
        <is>
          <t>2026-07</t>
        </is>
      </c>
      <c r="E432" s="8" t="b">
        <v>1</v>
      </c>
      <c r="F432" s="8" t="b">
        <v>1</v>
      </c>
      <c r="G432" s="8" t="b">
        <v>1</v>
      </c>
      <c r="H432" s="8" t="b">
        <v>1</v>
      </c>
      <c r="I432" s="8" t="b">
        <v>1</v>
      </c>
      <c r="J432" s="8" t="b">
        <v>0</v>
      </c>
      <c r="K432" s="8" t="b">
        <v>0</v>
      </c>
      <c r="L432" s="8" t="b">
        <v>0</v>
      </c>
      <c r="M432" s="8" t="b">
        <v>0</v>
      </c>
      <c r="N432" s="8" t="b">
        <v>0</v>
      </c>
      <c r="O432" s="8" t="n">
        <v>0</v>
      </c>
      <c r="P432" s="8" t="n">
        <v>0</v>
      </c>
      <c r="Q432" s="8" t="n">
        <v>0</v>
      </c>
      <c r="R432" s="8" t="n"/>
      <c r="S432" s="23" t="n"/>
      <c r="T432" s="23" t="n"/>
      <c r="U432" s="8" t="n">
        <v>0</v>
      </c>
      <c r="V432" s="9" t="n">
        <v>0</v>
      </c>
      <c r="W432" s="8" t="inlineStr">
        <is>
          <t>Azi9Y3V1VRRC26Kx</t>
        </is>
      </c>
      <c r="X432" s="9" t="n"/>
      <c r="Y432" s="8" t="inlineStr">
        <is>
          <t>cancelled</t>
        </is>
      </c>
      <c r="Z432" s="8" t="inlineStr">
        <is>
          <t>gbp</t>
        </is>
      </c>
    </row>
    <row r="433">
      <c r="A433" s="11" t="inlineStr">
        <is>
          <t>b71cc6f3-1e6c-4aec-9051-b98fa4441dc1</t>
        </is>
      </c>
      <c r="B433" s="11" t="inlineStr">
        <is>
          <t>Mitzie’s Hair</t>
        </is>
      </c>
      <c r="C433" s="24" t="n">
        <v>46232</v>
      </c>
      <c r="D433" s="11" t="inlineStr">
        <is>
          <t>2026-07</t>
        </is>
      </c>
      <c r="E433" s="11" t="b">
        <v>1</v>
      </c>
      <c r="F433" s="11" t="b">
        <v>1</v>
      </c>
      <c r="G433" s="11" t="b">
        <v>1</v>
      </c>
      <c r="H433" s="11" t="b">
        <v>1</v>
      </c>
      <c r="I433" s="11" t="b">
        <v>1</v>
      </c>
      <c r="J433" s="11" t="b">
        <v>1</v>
      </c>
      <c r="K433" s="11" t="b">
        <v>0</v>
      </c>
      <c r="L433" s="11" t="b">
        <v>1</v>
      </c>
      <c r="M433" s="11" t="b">
        <v>1</v>
      </c>
      <c r="N433" s="11" t="b">
        <v>1</v>
      </c>
      <c r="O433" s="11" t="n">
        <v>0</v>
      </c>
      <c r="P433" s="11" t="n">
        <v>0</v>
      </c>
      <c r="Q433" s="11" t="n">
        <v>0</v>
      </c>
      <c r="R433" s="11" t="n"/>
      <c r="S433" s="24" t="n"/>
      <c r="T433" s="24" t="n"/>
      <c r="U433" s="11" t="n">
        <v>0</v>
      </c>
      <c r="V433" s="12" t="n">
        <v>0</v>
      </c>
      <c r="W433" s="11" t="inlineStr">
        <is>
          <t>6oakgV19F13v2k2</t>
        </is>
      </c>
      <c r="X433" s="12" t="n">
        <v>199</v>
      </c>
      <c r="Y433" s="11" t="inlineStr">
        <is>
          <t>active</t>
        </is>
      </c>
      <c r="Z433" s="11" t="inlineStr">
        <is>
          <t>gbp</t>
        </is>
      </c>
    </row>
    <row r="434">
      <c r="A434" s="8" t="inlineStr">
        <is>
          <t>799c5089-38ad-4467-a7ca-570f61e499f0</t>
        </is>
      </c>
      <c r="B434" s="8" t="inlineStr">
        <is>
          <t>Saxena spa salon gsisg</t>
        </is>
      </c>
      <c r="C434" s="23" t="n">
        <v>46233</v>
      </c>
      <c r="D434" s="8" t="inlineStr">
        <is>
          <t>2026-07</t>
        </is>
      </c>
      <c r="E434" s="8" t="b">
        <v>1</v>
      </c>
      <c r="F434" s="8" t="b">
        <v>1</v>
      </c>
      <c r="G434" s="8" t="b">
        <v>1</v>
      </c>
      <c r="H434" s="8" t="b">
        <v>1</v>
      </c>
      <c r="I434" s="8" t="b">
        <v>1</v>
      </c>
      <c r="J434" s="8" t="b">
        <v>0</v>
      </c>
      <c r="K434" s="8" t="b">
        <v>1</v>
      </c>
      <c r="L434" s="8" t="b">
        <v>1</v>
      </c>
      <c r="M434" s="8" t="b">
        <v>1</v>
      </c>
      <c r="N434" s="8" t="b">
        <v>1</v>
      </c>
      <c r="O434" s="8" t="n">
        <v>0</v>
      </c>
      <c r="P434" s="8" t="n">
        <v>0</v>
      </c>
      <c r="Q434" s="8" t="n">
        <v>0</v>
      </c>
      <c r="R434" s="8" t="n"/>
      <c r="S434" s="23" t="n"/>
      <c r="T434" s="23" t="n"/>
      <c r="U434" s="8" t="n">
        <v>0</v>
      </c>
      <c r="V434" s="9" t="n">
        <v>0</v>
      </c>
      <c r="W434" s="8" t="inlineStr">
        <is>
          <t>16BRvDVQpkk5tTGR</t>
        </is>
      </c>
      <c r="X434" s="9" t="n"/>
      <c r="Y434" s="8" t="inlineStr">
        <is>
          <t>in_trial</t>
        </is>
      </c>
      <c r="Z434" s="8" t="inlineStr">
        <is>
          <t>chargebee_company</t>
        </is>
      </c>
    </row>
    <row r="435">
      <c r="A435" s="11" t="inlineStr">
        <is>
          <t>dcd9b72b-f4a5-432f-b652-5fc3f7172fe0</t>
        </is>
      </c>
      <c r="B435" s="11" t="inlineStr">
        <is>
          <t>Saxena spa salon gsisg</t>
        </is>
      </c>
      <c r="C435" s="24" t="n">
        <v>46233</v>
      </c>
      <c r="D435" s="11" t="inlineStr">
        <is>
          <t>2026-07</t>
        </is>
      </c>
      <c r="E435" s="11" t="b">
        <v>1</v>
      </c>
      <c r="F435" s="11" t="b">
        <v>1</v>
      </c>
      <c r="G435" s="11" t="b">
        <v>1</v>
      </c>
      <c r="H435" s="11" t="b">
        <v>1</v>
      </c>
      <c r="I435" s="11" t="b">
        <v>1</v>
      </c>
      <c r="J435" s="11" t="b">
        <v>0</v>
      </c>
      <c r="K435" s="11" t="b">
        <v>1</v>
      </c>
      <c r="L435" s="11" t="b">
        <v>1</v>
      </c>
      <c r="M435" s="11" t="b">
        <v>1</v>
      </c>
      <c r="N435" s="11" t="b">
        <v>1</v>
      </c>
      <c r="O435" s="11" t="n">
        <v>0</v>
      </c>
      <c r="P435" s="11" t="n">
        <v>0</v>
      </c>
      <c r="Q435" s="11" t="n">
        <v>0</v>
      </c>
      <c r="R435" s="11" t="n"/>
      <c r="S435" s="24" t="n"/>
      <c r="T435" s="24" t="n"/>
      <c r="U435" s="11" t="n">
        <v>0</v>
      </c>
      <c r="V435" s="12" t="n">
        <v>0</v>
      </c>
      <c r="W435" s="11" t="inlineStr">
        <is>
          <t>16BRvDVQpnFRrUe3</t>
        </is>
      </c>
      <c r="X435" s="12" t="n"/>
      <c r="Y435" s="11" t="inlineStr">
        <is>
          <t>in_trial</t>
        </is>
      </c>
      <c r="Z435" s="11" t="inlineStr">
        <is>
          <t>chargebee_company</t>
        </is>
      </c>
    </row>
    <row r="436">
      <c r="A436" s="8" t="inlineStr">
        <is>
          <t>b91c8a9d-b9cb-4ac6-815a-3c15f9345bd1</t>
        </is>
      </c>
      <c r="B436" s="34" t="inlineStr">
        <is>
          <t>(name not on file)</t>
        </is>
      </c>
      <c r="C436" s="23" t="n">
        <v>46233</v>
      </c>
      <c r="D436" s="8" t="inlineStr">
        <is>
          <t>2026-07</t>
        </is>
      </c>
      <c r="E436" s="8" t="b">
        <v>1</v>
      </c>
      <c r="F436" s="8" t="b">
        <v>0</v>
      </c>
      <c r="G436" s="8" t="b">
        <v>0</v>
      </c>
      <c r="H436" s="8" t="b">
        <v>0</v>
      </c>
      <c r="I436" s="8" t="b">
        <v>0</v>
      </c>
      <c r="J436" s="8" t="b">
        <v>0</v>
      </c>
      <c r="K436" s="8" t="b">
        <v>0</v>
      </c>
      <c r="L436" s="8" t="b">
        <v>0</v>
      </c>
      <c r="M436" s="8" t="b">
        <v>0</v>
      </c>
      <c r="N436" s="8" t="b">
        <v>0</v>
      </c>
      <c r="O436" s="8" t="n">
        <v>0</v>
      </c>
      <c r="P436" s="8" t="n">
        <v>0</v>
      </c>
      <c r="Q436" s="8" t="n">
        <v>0</v>
      </c>
      <c r="R436" s="8" t="n"/>
      <c r="S436" s="23" t="n"/>
      <c r="T436" s="23" t="n"/>
      <c r="U436" s="8" t="n">
        <v>0</v>
      </c>
      <c r="V436" s="9" t="n">
        <v>0</v>
      </c>
      <c r="W436" s="8" t="n"/>
      <c r="X436" s="9" t="n"/>
      <c r="Y436" s="8" t="n"/>
      <c r="Z436" s="8" t="inlineStr">
        <is>
          <t>unknown</t>
        </is>
      </c>
    </row>
    <row r="437">
      <c r="A437" s="11" t="inlineStr">
        <is>
          <t>10e271ae-69bc-49ff-bba2-405c4a5102f3</t>
        </is>
      </c>
      <c r="B437" s="33" t="inlineStr">
        <is>
          <t>(name not on file)</t>
        </is>
      </c>
      <c r="C437" s="24" t="n">
        <v>46233</v>
      </c>
      <c r="D437" s="11" t="inlineStr">
        <is>
          <t>2026-07</t>
        </is>
      </c>
      <c r="E437" s="11" t="b">
        <v>1</v>
      </c>
      <c r="F437" s="11" t="b">
        <v>1</v>
      </c>
      <c r="G437" s="11" t="b">
        <v>1</v>
      </c>
      <c r="H437" s="11" t="b">
        <v>1</v>
      </c>
      <c r="I437" s="11" t="b">
        <v>1</v>
      </c>
      <c r="J437" s="11" t="b">
        <v>0</v>
      </c>
      <c r="K437" s="11" t="b">
        <v>1</v>
      </c>
      <c r="L437" s="11" t="b">
        <v>1</v>
      </c>
      <c r="M437" s="11" t="b">
        <v>1</v>
      </c>
      <c r="N437" s="11" t="b">
        <v>1</v>
      </c>
      <c r="O437" s="11" t="n">
        <v>0</v>
      </c>
      <c r="P437" s="11" t="n">
        <v>0</v>
      </c>
      <c r="Q437" s="11" t="n">
        <v>0</v>
      </c>
      <c r="R437" s="11" t="n"/>
      <c r="S437" s="24" t="n"/>
      <c r="T437" s="24" t="n"/>
      <c r="U437" s="11" t="n">
        <v>0</v>
      </c>
      <c r="V437" s="12" t="n">
        <v>0</v>
      </c>
      <c r="W437" s="11" t="n"/>
      <c r="X437" s="12" t="n"/>
      <c r="Y437" s="11" t="n"/>
      <c r="Z437" s="11" t="inlineStr">
        <is>
          <t>unknown</t>
        </is>
      </c>
    </row>
    <row r="438">
      <c r="A438" s="8" t="inlineStr">
        <is>
          <t>34598057-788d-47b1-b16c-1ee9f75d50be</t>
        </is>
      </c>
      <c r="B438" s="8" t="inlineStr">
        <is>
          <t>Parth's Salon</t>
        </is>
      </c>
      <c r="C438" s="23" t="n">
        <v>46233</v>
      </c>
      <c r="D438" s="8" t="inlineStr">
        <is>
          <t>2026-07</t>
        </is>
      </c>
      <c r="E438" s="8" t="b">
        <v>1</v>
      </c>
      <c r="F438" s="8" t="b">
        <v>1</v>
      </c>
      <c r="G438" s="8" t="b">
        <v>1</v>
      </c>
      <c r="H438" s="8" t="b">
        <v>1</v>
      </c>
      <c r="I438" s="8" t="b">
        <v>1</v>
      </c>
      <c r="J438" s="8" t="b">
        <v>0</v>
      </c>
      <c r="K438" s="8" t="b">
        <v>1</v>
      </c>
      <c r="L438" s="8" t="b">
        <v>1</v>
      </c>
      <c r="M438" s="8" t="b">
        <v>1</v>
      </c>
      <c r="N438" s="8" t="b">
        <v>1</v>
      </c>
      <c r="O438" s="8" t="n">
        <v>0</v>
      </c>
      <c r="P438" s="8" t="n">
        <v>0</v>
      </c>
      <c r="Q438" s="8" t="n">
        <v>0</v>
      </c>
      <c r="R438" s="8" t="n"/>
      <c r="S438" s="23" t="n"/>
      <c r="T438" s="23" t="n"/>
      <c r="U438" s="8" t="n">
        <v>0</v>
      </c>
      <c r="V438" s="9" t="n">
        <v>0</v>
      </c>
      <c r="W438" s="8" t="inlineStr">
        <is>
          <t>16A1jrVQlntn41KGr</t>
        </is>
      </c>
      <c r="X438" s="9" t="n"/>
      <c r="Y438" s="8" t="inlineStr">
        <is>
          <t>in_trial</t>
        </is>
      </c>
      <c r="Z438" s="8" t="inlineStr">
        <is>
          <t>gbp</t>
        </is>
      </c>
    </row>
    <row r="439">
      <c r="A439" s="11" t="inlineStr">
        <is>
          <t>bee091f4-f269-4902-89d4-fdc5cc8d154b</t>
        </is>
      </c>
      <c r="B439" s="11" t="inlineStr">
        <is>
          <t>Saxena spa salon gsisg</t>
        </is>
      </c>
      <c r="C439" s="24" t="n">
        <v>46233</v>
      </c>
      <c r="D439" s="11" t="inlineStr">
        <is>
          <t>2026-07</t>
        </is>
      </c>
      <c r="E439" s="11" t="b">
        <v>1</v>
      </c>
      <c r="F439" s="11" t="b">
        <v>1</v>
      </c>
      <c r="G439" s="11" t="b">
        <v>1</v>
      </c>
      <c r="H439" s="11" t="b">
        <v>1</v>
      </c>
      <c r="I439" s="11" t="b">
        <v>1</v>
      </c>
      <c r="J439" s="11" t="b">
        <v>0</v>
      </c>
      <c r="K439" s="11" t="b">
        <v>1</v>
      </c>
      <c r="L439" s="11" t="b">
        <v>1</v>
      </c>
      <c r="M439" s="11" t="b">
        <v>1</v>
      </c>
      <c r="N439" s="11" t="b">
        <v>1</v>
      </c>
      <c r="O439" s="11" t="n">
        <v>1</v>
      </c>
      <c r="P439" s="11" t="n">
        <v>0</v>
      </c>
      <c r="Q439" s="11" t="n">
        <v>0</v>
      </c>
      <c r="R439" s="11" t="n"/>
      <c r="S439" s="24" t="n">
        <v>46233</v>
      </c>
      <c r="T439" s="24" t="n">
        <v>46233</v>
      </c>
      <c r="U439" s="11" t="n">
        <v>1</v>
      </c>
      <c r="V439" s="12" t="n">
        <v>40</v>
      </c>
      <c r="W439" s="11" t="inlineStr">
        <is>
          <t>16BlmgVQrkHCp1b8e</t>
        </is>
      </c>
      <c r="X439" s="12" t="n"/>
      <c r="Y439" s="11" t="inlineStr">
        <is>
          <t>in_trial</t>
        </is>
      </c>
      <c r="Z439" s="11" t="inlineStr">
        <is>
          <t>chargebee_company</t>
        </is>
      </c>
    </row>
    <row r="440">
      <c r="A440" s="8" t="inlineStr">
        <is>
          <t>7f126b65-0703-49f7-b5bc-2aabce6d806f</t>
        </is>
      </c>
      <c r="B440" s="8" t="inlineStr">
        <is>
          <t>Natasha Braids</t>
        </is>
      </c>
      <c r="C440" s="23" t="n">
        <v>46233</v>
      </c>
      <c r="D440" s="8" t="inlineStr">
        <is>
          <t>2026-07</t>
        </is>
      </c>
      <c r="E440" s="8" t="b">
        <v>1</v>
      </c>
      <c r="F440" s="8" t="b">
        <v>1</v>
      </c>
      <c r="G440" s="8" t="b">
        <v>1</v>
      </c>
      <c r="H440" s="8" t="b">
        <v>1</v>
      </c>
      <c r="I440" s="8" t="b">
        <v>1</v>
      </c>
      <c r="J440" s="8" t="b">
        <v>0</v>
      </c>
      <c r="K440" s="8" t="b">
        <v>1</v>
      </c>
      <c r="L440" s="8" t="b">
        <v>1</v>
      </c>
      <c r="M440" s="8" t="b">
        <v>1</v>
      </c>
      <c r="N440" s="8" t="b">
        <v>1</v>
      </c>
      <c r="O440" s="8" t="n">
        <v>0</v>
      </c>
      <c r="P440" s="8" t="n">
        <v>0</v>
      </c>
      <c r="Q440" s="8" t="n">
        <v>0</v>
      </c>
      <c r="R440" s="8" t="n"/>
      <c r="S440" s="23" t="n"/>
      <c r="T440" s="23" t="n"/>
      <c r="U440" s="8" t="n">
        <v>0</v>
      </c>
      <c r="V440" s="9" t="n">
        <v>0</v>
      </c>
      <c r="W440" s="8" t="inlineStr">
        <is>
          <t>AzZTpYVQrpcaB1qVQ</t>
        </is>
      </c>
      <c r="X440" s="9" t="n"/>
      <c r="Y440" s="8" t="inlineStr">
        <is>
          <t>in_trial</t>
        </is>
      </c>
      <c r="Z440" s="8" t="inlineStr">
        <is>
          <t>chargebee_company</t>
        </is>
      </c>
    </row>
    <row r="441">
      <c r="A441" s="11" t="inlineStr">
        <is>
          <t>5eb48d89-3b62-40e1-a96c-8a647623aeb7</t>
        </is>
      </c>
      <c r="B441" s="11" t="inlineStr">
        <is>
          <t>Salt Breeze Wellness</t>
        </is>
      </c>
      <c r="C441" s="24" t="n">
        <v>46233</v>
      </c>
      <c r="D441" s="11" t="inlineStr">
        <is>
          <t>2026-07</t>
        </is>
      </c>
      <c r="E441" s="11" t="b">
        <v>1</v>
      </c>
      <c r="F441" s="11" t="b">
        <v>1</v>
      </c>
      <c r="G441" s="11" t="b">
        <v>1</v>
      </c>
      <c r="H441" s="11" t="b">
        <v>1</v>
      </c>
      <c r="I441" s="11" t="b">
        <v>1</v>
      </c>
      <c r="J441" s="11" t="b">
        <v>0</v>
      </c>
      <c r="K441" s="11" t="b">
        <v>0</v>
      </c>
      <c r="L441" s="11" t="b">
        <v>0</v>
      </c>
      <c r="M441" s="11" t="b">
        <v>0</v>
      </c>
      <c r="N441" s="11" t="b">
        <v>0</v>
      </c>
      <c r="O441" s="11" t="n">
        <v>0</v>
      </c>
      <c r="P441" s="11" t="n">
        <v>0</v>
      </c>
      <c r="Q441" s="11" t="n">
        <v>0</v>
      </c>
      <c r="R441" s="11" t="n"/>
      <c r="S441" s="24" t="n"/>
      <c r="T441" s="24" t="n"/>
      <c r="U441" s="11" t="n">
        <v>0</v>
      </c>
      <c r="V441" s="12" t="n">
        <v>0</v>
      </c>
      <c r="W441" s="11" t="inlineStr">
        <is>
          <t>cus_Tzx8EXtQfF8SY0</t>
        </is>
      </c>
      <c r="X441" s="12" t="n">
        <v>349</v>
      </c>
      <c r="Y441" s="11" t="inlineStr">
        <is>
          <t>active</t>
        </is>
      </c>
      <c r="Z441" s="11" t="inlineStr">
        <is>
          <t>gbp</t>
        </is>
      </c>
    </row>
    <row r="442">
      <c r="A442" s="8" t="inlineStr">
        <is>
          <t>528266fe-097d-4764-aa60-e2896f8fcc20</t>
        </is>
      </c>
      <c r="B442" s="8" t="inlineStr">
        <is>
          <t>Curl of Duty | Hair Salon</t>
        </is>
      </c>
      <c r="C442" s="23" t="n">
        <v>46234</v>
      </c>
      <c r="D442" s="8" t="inlineStr">
        <is>
          <t>2026-07</t>
        </is>
      </c>
      <c r="E442" s="8" t="b">
        <v>1</v>
      </c>
      <c r="F442" s="8" t="b">
        <v>1</v>
      </c>
      <c r="G442" s="8" t="b">
        <v>1</v>
      </c>
      <c r="H442" s="8" t="b">
        <v>1</v>
      </c>
      <c r="I442" s="8" t="b">
        <v>1</v>
      </c>
      <c r="J442" s="8" t="b">
        <v>0</v>
      </c>
      <c r="K442" s="8" t="b">
        <v>1</v>
      </c>
      <c r="L442" s="8" t="b">
        <v>1</v>
      </c>
      <c r="M442" s="8" t="b">
        <v>1</v>
      </c>
      <c r="N442" s="8" t="b">
        <v>1</v>
      </c>
      <c r="O442" s="8" t="n">
        <v>0</v>
      </c>
      <c r="P442" s="8" t="n">
        <v>0</v>
      </c>
      <c r="Q442" s="8" t="n">
        <v>0</v>
      </c>
      <c r="R442" s="8" t="n"/>
      <c r="S442" s="23" t="n"/>
      <c r="T442" s="23" t="n"/>
      <c r="U442" s="8" t="n">
        <v>0</v>
      </c>
      <c r="V442" s="9" t="n">
        <v>0</v>
      </c>
      <c r="W442" s="8" t="inlineStr">
        <is>
          <t>AzqVoGVQwonlaQpm</t>
        </is>
      </c>
      <c r="X442" s="9" t="n"/>
      <c r="Y442" s="8" t="inlineStr">
        <is>
          <t>in_trial</t>
        </is>
      </c>
      <c r="Z442" s="8" t="inlineStr">
        <is>
          <t>gbp</t>
        </is>
      </c>
    </row>
    <row r="443">
      <c r="A443" s="11" t="inlineStr">
        <is>
          <t>b26cfa27-5312-46e5-8163-43d409a70312</t>
        </is>
      </c>
      <c r="B443" s="11" t="inlineStr">
        <is>
          <t>Natasha Braids</t>
        </is>
      </c>
      <c r="C443" s="24" t="n">
        <v>46234</v>
      </c>
      <c r="D443" s="11" t="inlineStr">
        <is>
          <t>2026-07</t>
        </is>
      </c>
      <c r="E443" s="11" t="b">
        <v>1</v>
      </c>
      <c r="F443" s="11" t="b">
        <v>1</v>
      </c>
      <c r="G443" s="11" t="b">
        <v>1</v>
      </c>
      <c r="H443" s="11" t="b">
        <v>1</v>
      </c>
      <c r="I443" s="11" t="b">
        <v>1</v>
      </c>
      <c r="J443" s="11" t="b">
        <v>0</v>
      </c>
      <c r="K443" s="11" t="b">
        <v>1</v>
      </c>
      <c r="L443" s="11" t="b">
        <v>1</v>
      </c>
      <c r="M443" s="11" t="b">
        <v>1</v>
      </c>
      <c r="N443" s="11" t="b">
        <v>1</v>
      </c>
      <c r="O443" s="11" t="n">
        <v>0</v>
      </c>
      <c r="P443" s="11" t="n">
        <v>0</v>
      </c>
      <c r="Q443" s="11" t="n">
        <v>0</v>
      </c>
      <c r="R443" s="11" t="n"/>
      <c r="S443" s="24" t="n"/>
      <c r="T443" s="24" t="n"/>
      <c r="U443" s="11" t="n">
        <v>0</v>
      </c>
      <c r="V443" s="12" t="n">
        <v>0</v>
      </c>
      <c r="W443" s="11" t="inlineStr">
        <is>
          <t>16BVhgVQxJQVK1HL6</t>
        </is>
      </c>
      <c r="X443" s="12" t="n"/>
      <c r="Y443" s="11" t="inlineStr">
        <is>
          <t>in_trial</t>
        </is>
      </c>
      <c r="Z443" s="11" t="inlineStr">
        <is>
          <t>gbp</t>
        </is>
      </c>
    </row>
    <row r="444">
      <c r="A444" s="8" t="inlineStr">
        <is>
          <t>451ba6f4-071e-4487-907a-d146b5e76a94</t>
        </is>
      </c>
      <c r="B444" s="8" t="inlineStr">
        <is>
          <t>Saxena spa salon gsisg</t>
        </is>
      </c>
      <c r="C444" s="23" t="n">
        <v>46234</v>
      </c>
      <c r="D444" s="8" t="inlineStr">
        <is>
          <t>2026-07</t>
        </is>
      </c>
      <c r="E444" s="8" t="b">
        <v>1</v>
      </c>
      <c r="F444" s="8" t="b">
        <v>1</v>
      </c>
      <c r="G444" s="8" t="b">
        <v>1</v>
      </c>
      <c r="H444" s="8" t="b">
        <v>1</v>
      </c>
      <c r="I444" s="8" t="b">
        <v>1</v>
      </c>
      <c r="J444" s="8" t="b">
        <v>0</v>
      </c>
      <c r="K444" s="8" t="b">
        <v>1</v>
      </c>
      <c r="L444" s="8" t="b">
        <v>1</v>
      </c>
      <c r="M444" s="8" t="b">
        <v>1</v>
      </c>
      <c r="N444" s="8" t="b">
        <v>1</v>
      </c>
      <c r="O444" s="8" t="n">
        <v>6</v>
      </c>
      <c r="P444" s="8" t="n">
        <v>3</v>
      </c>
      <c r="Q444" s="8" t="n">
        <v>0</v>
      </c>
      <c r="R444" s="8" t="n"/>
      <c r="S444" s="23" t="n">
        <v>46234</v>
      </c>
      <c r="T444" s="23" t="n">
        <v>46234</v>
      </c>
      <c r="U444" s="8" t="n">
        <v>3</v>
      </c>
      <c r="V444" s="9" t="n">
        <v>408.6</v>
      </c>
      <c r="W444" s="8" t="inlineStr">
        <is>
          <t>Azz2gqVQxL3Kb1OSt</t>
        </is>
      </c>
      <c r="X444" s="9" t="n"/>
      <c r="Y444" s="8" t="inlineStr">
        <is>
          <t>in_trial</t>
        </is>
      </c>
      <c r="Z444" s="8" t="inlineStr">
        <is>
          <t>gbp</t>
        </is>
      </c>
    </row>
    <row r="445">
      <c r="A445" s="11" t="inlineStr">
        <is>
          <t>71ddb534-01b4-4e89-aa19-ea9188afa9c5</t>
        </is>
      </c>
      <c r="B445" s="11" t="inlineStr">
        <is>
          <t>OPULENCE GROOMING &amp; MORE</t>
        </is>
      </c>
      <c r="C445" s="24" t="n">
        <v>46234</v>
      </c>
      <c r="D445" s="11" t="inlineStr">
        <is>
          <t>2026-07</t>
        </is>
      </c>
      <c r="E445" s="11" t="b">
        <v>1</v>
      </c>
      <c r="F445" s="11" t="b">
        <v>1</v>
      </c>
      <c r="G445" s="11" t="b">
        <v>1</v>
      </c>
      <c r="H445" s="11" t="b">
        <v>1</v>
      </c>
      <c r="I445" s="11" t="b">
        <v>1</v>
      </c>
      <c r="J445" s="11" t="b">
        <v>1</v>
      </c>
      <c r="K445" s="11" t="b">
        <v>0</v>
      </c>
      <c r="L445" s="11" t="b">
        <v>1</v>
      </c>
      <c r="M445" s="11" t="b">
        <v>1</v>
      </c>
      <c r="N445" s="11" t="b">
        <v>1</v>
      </c>
      <c r="O445" s="11" t="n">
        <v>5</v>
      </c>
      <c r="P445" s="11" t="n">
        <v>1</v>
      </c>
      <c r="Q445" s="11" t="n">
        <v>0</v>
      </c>
      <c r="R445" s="11" t="n"/>
      <c r="S445" s="24" t="n">
        <v>46234</v>
      </c>
      <c r="T445" s="24" t="n">
        <v>46237</v>
      </c>
      <c r="U445" s="11" t="n">
        <v>1</v>
      </c>
      <c r="V445" s="12" t="n">
        <v>35</v>
      </c>
      <c r="W445" s="11" t="inlineStr">
        <is>
          <t>AzqTpXVBWkwu6CF5</t>
        </is>
      </c>
      <c r="X445" s="12" t="n">
        <v>200</v>
      </c>
      <c r="Y445" s="11" t="inlineStr">
        <is>
          <t>active</t>
        </is>
      </c>
      <c r="Z445" s="11" t="inlineStr">
        <is>
          <t>gbp</t>
        </is>
      </c>
    </row>
    <row r="447">
      <c r="A447" s="15" t="inlineStr">
        <is>
          <t>Business name resolved in priority order: gbp.locations.title (246) → gbp.locations_logs.title (119) → chargebee.customers.company (27) → entities.businesses.title (3). 49 locations have no name on file in any source. Note entities.businesses keys on scheduling.onboarding.entity_id (the PARENT business entity), not on location_entity_id.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7" customWidth="1" min="5" max="5"/>
    <col width="22" customWidth="1" min="6" max="6"/>
  </cols>
  <sheetData>
    <row r="1">
      <c r="A1" s="1" t="inlineStr">
        <is>
          <t>Cohort retention — do accounts keep booking after they switch it on?</t>
        </is>
      </c>
    </row>
    <row r="2">
      <c r="A2" s="15" t="inlineStr">
        <is>
          <t>Cohort = month the location entered onboarding. Live = took a native booking within 30 days of the as-of date on Summary.</t>
        </is>
      </c>
    </row>
    <row r="4">
      <c r="A4" s="7" t="inlineStr">
        <is>
          <t>Cohort</t>
        </is>
      </c>
      <c r="B4" s="7" t="inlineStr">
        <is>
          <t>Entered</t>
        </is>
      </c>
      <c r="C4" s="7" t="inlineStr">
        <is>
          <t>Enabled</t>
        </is>
      </c>
      <c r="D4" s="7" t="inlineStr">
        <is>
          <t>Ever booked</t>
        </is>
      </c>
      <c r="E4" s="7" t="inlineStr">
        <is>
          <t>Live in last 30d</t>
        </is>
      </c>
      <c r="F4" s="7" t="inlineStr">
        <is>
          <t>% of enabled still live</t>
        </is>
      </c>
    </row>
    <row r="5">
      <c r="A5" s="11" t="inlineStr">
        <is>
          <t>2026-01</t>
        </is>
      </c>
      <c r="B5" s="11">
        <f>SUMPRODUCT(--(Locations!$D$2:$D$445=$A5))</f>
        <v/>
      </c>
      <c r="C5" s="11">
        <f>SUMPRODUCT(--(Locations!$D$2:$D$445=$A5),--(Locations!$M$2:$M$445=TRUE))</f>
        <v/>
      </c>
      <c r="D5" s="11">
        <f>SUMPRODUCT(--(Locations!$D$2:$D$445=$A5),--(Locations!$M$2:$M$445=TRUE),--(Locations!$O$2:$O$445&gt;0))</f>
        <v/>
      </c>
      <c r="E5" s="11">
        <f>SUMPRODUCT(--(Locations!$D$2:$D$445=$A5),--(Locations!$M$2:$M$445=TRUE),--(Locations!$T$2:$T$445&gt;=Summary!$B$3-30))</f>
        <v/>
      </c>
      <c r="F5" s="21">
        <f>IFERROR(E5/C5,0)</f>
        <v/>
      </c>
    </row>
    <row r="6">
      <c r="A6" s="11" t="inlineStr">
        <is>
          <t>2026-02</t>
        </is>
      </c>
      <c r="B6" s="11">
        <f>SUMPRODUCT(--(Locations!$D$2:$D$445=$A6))</f>
        <v/>
      </c>
      <c r="C6" s="11">
        <f>SUMPRODUCT(--(Locations!$D$2:$D$445=$A6),--(Locations!$M$2:$M$445=TRUE))</f>
        <v/>
      </c>
      <c r="D6" s="11">
        <f>SUMPRODUCT(--(Locations!$D$2:$D$445=$A6),--(Locations!$M$2:$M$445=TRUE),--(Locations!$O$2:$O$445&gt;0))</f>
        <v/>
      </c>
      <c r="E6" s="11">
        <f>SUMPRODUCT(--(Locations!$D$2:$D$445=$A6),--(Locations!$M$2:$M$445=TRUE),--(Locations!$T$2:$T$445&gt;=Summary!$B$3-30))</f>
        <v/>
      </c>
      <c r="F6" s="21">
        <f>IFERROR(E6/C6,0)</f>
        <v/>
      </c>
    </row>
    <row r="7">
      <c r="A7" s="11" t="inlineStr">
        <is>
          <t>2026-03</t>
        </is>
      </c>
      <c r="B7" s="11">
        <f>SUMPRODUCT(--(Locations!$D$2:$D$445=$A7))</f>
        <v/>
      </c>
      <c r="C7" s="11">
        <f>SUMPRODUCT(--(Locations!$D$2:$D$445=$A7),--(Locations!$M$2:$M$445=TRUE))</f>
        <v/>
      </c>
      <c r="D7" s="11">
        <f>SUMPRODUCT(--(Locations!$D$2:$D$445=$A7),--(Locations!$M$2:$M$445=TRUE),--(Locations!$O$2:$O$445&gt;0))</f>
        <v/>
      </c>
      <c r="E7" s="11">
        <f>SUMPRODUCT(--(Locations!$D$2:$D$445=$A7),--(Locations!$M$2:$M$445=TRUE),--(Locations!$T$2:$T$445&gt;=Summary!$B$3-30))</f>
        <v/>
      </c>
      <c r="F7" s="21">
        <f>IFERROR(E7/C7,0)</f>
        <v/>
      </c>
    </row>
    <row r="8">
      <c r="A8" s="11" t="inlineStr">
        <is>
          <t>2026-04</t>
        </is>
      </c>
      <c r="B8" s="11">
        <f>SUMPRODUCT(--(Locations!$D$2:$D$445=$A8))</f>
        <v/>
      </c>
      <c r="C8" s="11">
        <f>SUMPRODUCT(--(Locations!$D$2:$D$445=$A8),--(Locations!$M$2:$M$445=TRUE))</f>
        <v/>
      </c>
      <c r="D8" s="11">
        <f>SUMPRODUCT(--(Locations!$D$2:$D$445=$A8),--(Locations!$M$2:$M$445=TRUE),--(Locations!$O$2:$O$445&gt;0))</f>
        <v/>
      </c>
      <c r="E8" s="11">
        <f>SUMPRODUCT(--(Locations!$D$2:$D$445=$A8),--(Locations!$M$2:$M$445=TRUE),--(Locations!$T$2:$T$445&gt;=Summary!$B$3-30))</f>
        <v/>
      </c>
      <c r="F8" s="21">
        <f>IFERROR(E8/C8,0)</f>
        <v/>
      </c>
    </row>
    <row r="9">
      <c r="A9" s="11" t="inlineStr">
        <is>
          <t>2026-05</t>
        </is>
      </c>
      <c r="B9" s="11">
        <f>SUMPRODUCT(--(Locations!$D$2:$D$445=$A9))</f>
        <v/>
      </c>
      <c r="C9" s="11">
        <f>SUMPRODUCT(--(Locations!$D$2:$D$445=$A9),--(Locations!$M$2:$M$445=TRUE))</f>
        <v/>
      </c>
      <c r="D9" s="11">
        <f>SUMPRODUCT(--(Locations!$D$2:$D$445=$A9),--(Locations!$M$2:$M$445=TRUE),--(Locations!$O$2:$O$445&gt;0))</f>
        <v/>
      </c>
      <c r="E9" s="11">
        <f>SUMPRODUCT(--(Locations!$D$2:$D$445=$A9),--(Locations!$M$2:$M$445=TRUE),--(Locations!$T$2:$T$445&gt;=Summary!$B$3-30))</f>
        <v/>
      </c>
      <c r="F9" s="21">
        <f>IFERROR(E9/C9,0)</f>
        <v/>
      </c>
    </row>
    <row r="10">
      <c r="A10" s="11" t="inlineStr">
        <is>
          <t>2026-06</t>
        </is>
      </c>
      <c r="B10" s="11">
        <f>SUMPRODUCT(--(Locations!$D$2:$D$445=$A10))</f>
        <v/>
      </c>
      <c r="C10" s="11">
        <f>SUMPRODUCT(--(Locations!$D$2:$D$445=$A10),--(Locations!$M$2:$M$445=TRUE))</f>
        <v/>
      </c>
      <c r="D10" s="11">
        <f>SUMPRODUCT(--(Locations!$D$2:$D$445=$A10),--(Locations!$M$2:$M$445=TRUE),--(Locations!$O$2:$O$445&gt;0))</f>
        <v/>
      </c>
      <c r="E10" s="11">
        <f>SUMPRODUCT(--(Locations!$D$2:$D$445=$A10),--(Locations!$M$2:$M$445=TRUE),--(Locations!$T$2:$T$445&gt;=Summary!$B$3-30))</f>
        <v/>
      </c>
      <c r="F10" s="21">
        <f>IFERROR(E10/C10,0)</f>
        <v/>
      </c>
    </row>
    <row r="11">
      <c r="A11" s="11" t="inlineStr">
        <is>
          <t>2026-07</t>
        </is>
      </c>
      <c r="B11" s="11">
        <f>SUMPRODUCT(--(Locations!$D$2:$D$445=$A11))</f>
        <v/>
      </c>
      <c r="C11" s="11">
        <f>SUMPRODUCT(--(Locations!$D$2:$D$445=$A11),--(Locations!$M$2:$M$445=TRUE))</f>
        <v/>
      </c>
      <c r="D11" s="11">
        <f>SUMPRODUCT(--(Locations!$D$2:$D$445=$A11),--(Locations!$M$2:$M$445=TRUE),--(Locations!$O$2:$O$445&gt;0))</f>
        <v/>
      </c>
      <c r="E11" s="11">
        <f>SUMPRODUCT(--(Locations!$D$2:$D$445=$A11),--(Locations!$M$2:$M$445=TRUE),--(Locations!$T$2:$T$445&gt;=Summary!$B$3-30))</f>
        <v/>
      </c>
      <c r="F11" s="21">
        <f>IFERROR(E11/C11,0)</f>
        <v/>
      </c>
    </row>
    <row r="12">
      <c r="A12" s="4" t="inlineStr">
        <is>
          <t>TOTAL</t>
        </is>
      </c>
      <c r="B12" s="25">
        <f>SUM(B5:B11)</f>
        <v/>
      </c>
      <c r="C12" s="25">
        <f>SUM(C5:C11)</f>
        <v/>
      </c>
      <c r="D12" s="25">
        <f>SUM(D5:D11)</f>
        <v/>
      </c>
      <c r="E12" s="25">
        <f>SUM(E5:E11)</f>
        <v/>
      </c>
      <c r="F12" s="26">
        <f>IFERROR(E12/C12,0)</f>
        <v/>
      </c>
    </row>
    <row r="14">
      <c r="A14" s="15" t="inlineStr">
        <is>
          <t>Every settled cohort lands at roughly 20-25% still booking. July looks healthy only because it just onboarded — it has not aged yet. This is a retention problem, not a conversion problem.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52" customWidth="1" min="4" max="4"/>
  </cols>
  <sheetData>
    <row r="1">
      <c r="A1" s="1" t="inlineStr">
        <is>
          <t>Bookings, payments and displaced incumbents</t>
        </is>
      </c>
    </row>
    <row r="3">
      <c r="A3" s="4" t="inlineStr">
        <is>
          <t>VALUE PROCESSED</t>
        </is>
      </c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Source</t>
        </is>
      </c>
    </row>
    <row r="5">
      <c r="A5" s="11" t="inlineStr">
        <is>
          <t>Completed payments (USD)</t>
        </is>
      </c>
      <c r="B5" s="12">
        <f>SUM(Locations!$V$2:$V$445)</f>
        <v/>
      </c>
      <c r="C5" s="12" t="inlineStr">
        <is>
          <t>Locations sheet, col U</t>
        </is>
      </c>
    </row>
    <row r="6">
      <c r="A6" s="11" t="inlineStr">
        <is>
          <t>Completed transactions</t>
        </is>
      </c>
      <c r="B6" s="11">
        <f>SUM(Locations!$U$2:$U$445)</f>
        <v/>
      </c>
      <c r="C6" s="11" t="inlineStr">
        <is>
          <t>Locations sheet, col T</t>
        </is>
      </c>
    </row>
    <row r="7">
      <c r="A7" s="17" t="inlineStr">
        <is>
          <t>Accounts that processed a payment</t>
        </is>
      </c>
      <c r="B7" s="17">
        <f>SUMPRODUCT(--(Locations!$U$2:$U$445&gt;0))</f>
        <v/>
      </c>
      <c r="C7" s="17" t="inlineStr">
        <is>
          <t>Locations sheet</t>
        </is>
      </c>
    </row>
    <row r="8">
      <c r="A8" s="11" t="inlineStr">
        <is>
          <t>Native bookings</t>
        </is>
      </c>
      <c r="B8" s="11">
        <f>SUM(Locations!$O$2:$O$445)</f>
        <v/>
      </c>
      <c r="C8" s="11" t="inlineStr">
        <is>
          <t>Excludes migrated history</t>
        </is>
      </c>
    </row>
    <row r="9">
      <c r="A9" s="11" t="inlineStr">
        <is>
          <t>Customer self-serve bookings</t>
        </is>
      </c>
      <c r="B9" s="11">
        <f>SUM(Locations!$P$2:$P$445)</f>
        <v/>
      </c>
      <c r="C9" s="11" t="inlineStr">
        <is>
          <t>created_by_type EC or CLIENT</t>
        </is>
      </c>
    </row>
    <row r="10">
      <c r="A10" s="11" t="inlineStr">
        <is>
          <t>Migrated (historical) bookings</t>
        </is>
      </c>
      <c r="B10" s="11">
        <f>SUM(Locations!$Q$2:$Q$445)</f>
        <v/>
      </c>
      <c r="C10" s="11" t="inlineStr">
        <is>
          <t>Imported, not earned</t>
        </is>
      </c>
    </row>
    <row r="12">
      <c r="A12" s="4" t="inlineStr">
        <is>
          <t>BOOKING CREATOR MIX — all bookings, from scheduling.bookings</t>
        </is>
      </c>
    </row>
    <row r="13">
      <c r="A13" s="15" t="inlineStr">
        <is>
          <t>Hardcoded. Source: scheduling.bookings grouped by created_by_type and migration_source, queried 03/08/26.</t>
        </is>
      </c>
    </row>
    <row r="14">
      <c r="A14" s="7" t="inlineStr">
        <is>
          <t>Creator type</t>
        </is>
      </c>
      <c r="B14" s="7" t="inlineStr">
        <is>
          <t>Bookings</t>
        </is>
      </c>
      <c r="C14" s="7" t="inlineStr">
        <is>
          <t>Accounts</t>
        </is>
      </c>
      <c r="D14" s="7" t="inlineStr">
        <is>
          <t>Meaning</t>
        </is>
      </c>
    </row>
    <row r="15">
      <c r="A15" s="11" t="inlineStr">
        <is>
          <t>SP — staff-made</t>
        </is>
      </c>
      <c r="B15" s="11" t="n">
        <v>11028</v>
      </c>
      <c r="C15" s="11" t="n">
        <v>197</v>
      </c>
      <c r="D15" s="11" t="inlineStr">
        <is>
          <t>Business enters the booking</t>
        </is>
      </c>
    </row>
    <row r="16">
      <c r="A16" s="11" t="inlineStr">
        <is>
          <t>SYSTEM — automated</t>
        </is>
      </c>
      <c r="B16" s="11" t="n">
        <v>7091</v>
      </c>
      <c r="C16" s="11" t="n">
        <v>4</v>
      </c>
      <c r="D16" s="11" t="inlineStr"/>
    </row>
    <row r="17">
      <c r="A17" s="11" t="inlineStr">
        <is>
          <t>EC — end customer self-serve</t>
        </is>
      </c>
      <c r="B17" s="11" t="n">
        <v>4352</v>
      </c>
      <c r="C17" s="11" t="n">
        <v>247</v>
      </c>
      <c r="D17" s="11" t="inlineStr">
        <is>
          <t>The number that proves the product works</t>
        </is>
      </c>
    </row>
    <row r="18">
      <c r="A18" s="11" t="inlineStr">
        <is>
          <t>CLIENT — client app</t>
        </is>
      </c>
      <c r="B18" s="11" t="n">
        <v>260</v>
      </c>
      <c r="C18" s="11" t="n">
        <v>31</v>
      </c>
      <c r="D18" s="11" t="inlineStr"/>
    </row>
    <row r="19">
      <c r="A19" s="11" t="inlineStr">
        <is>
          <t>MCP — agent</t>
        </is>
      </c>
      <c r="B19" s="11" t="n">
        <v>48</v>
      </c>
      <c r="C19" s="11" t="n">
        <v>12</v>
      </c>
      <c r="D19" s="11" t="inlineStr"/>
    </row>
    <row r="20">
      <c r="A20" s="11" t="inlineStr">
        <is>
          <t>MIGRATION — native flag</t>
        </is>
      </c>
      <c r="B20" s="11" t="n">
        <v>240</v>
      </c>
      <c r="C20" s="11" t="n">
        <v>1</v>
      </c>
      <c r="D20" s="11" t="inlineStr"/>
    </row>
    <row r="22">
      <c r="A22" s="4" t="inlineStr">
        <is>
          <t>INCUMBENT SYSTEMS MIGRATED FROM</t>
        </is>
      </c>
    </row>
    <row r="23">
      <c r="A23" s="15" t="inlineStr">
        <is>
          <t>Hardcoded. Source: scheduling.bookings.migration_source, queried 03/08/26. Only 14 accounts imported history — the rest either had nothing to move or never fully switched.</t>
        </is>
      </c>
    </row>
    <row r="24">
      <c r="A24" s="7" t="inlineStr">
        <is>
          <t>Prior system</t>
        </is>
      </c>
      <c r="B24" s="7" t="inlineStr">
        <is>
          <t>Bookings migrated</t>
        </is>
      </c>
      <c r="C24" s="7" t="inlineStr">
        <is>
          <t>Accounts</t>
        </is>
      </c>
      <c r="D24" s="7" t="inlineStr"/>
    </row>
    <row r="25">
      <c r="A25" s="11" t="inlineStr">
        <is>
          <t>Zoca internal ops</t>
        </is>
      </c>
      <c r="B25" s="11" t="n">
        <v>15756</v>
      </c>
      <c r="C25" s="11" t="n">
        <v>2</v>
      </c>
      <c r="D25" s="11" t="inlineStr"/>
    </row>
    <row r="26">
      <c r="A26" s="11" t="inlineStr">
        <is>
          <t>Square</t>
        </is>
      </c>
      <c r="B26" s="11" t="n">
        <v>7748</v>
      </c>
      <c r="C26" s="11" t="n">
        <v>4</v>
      </c>
      <c r="D26" s="11" t="inlineStr"/>
    </row>
    <row r="27">
      <c r="A27" s="11" t="inlineStr">
        <is>
          <t>Vagaro</t>
        </is>
      </c>
      <c r="B27" s="11" t="n">
        <v>6321</v>
      </c>
      <c r="C27" s="11" t="n">
        <v>1</v>
      </c>
      <c r="D27" s="11" t="inlineStr"/>
    </row>
    <row r="28">
      <c r="A28" s="11" t="inlineStr">
        <is>
          <t>Fresha</t>
        </is>
      </c>
      <c r="B28" s="11" t="n">
        <v>4984</v>
      </c>
      <c r="C28" s="11" t="n">
        <v>1</v>
      </c>
      <c r="D28" s="11" t="inlineStr"/>
    </row>
    <row r="29">
      <c r="A29" s="11" t="inlineStr">
        <is>
          <t>Booksy</t>
        </is>
      </c>
      <c r="B29" s="11" t="n">
        <v>4088</v>
      </c>
      <c r="C29" s="11" t="n">
        <v>1</v>
      </c>
      <c r="D29" s="11" t="inlineStr"/>
    </row>
    <row r="30">
      <c r="A30" s="11" t="inlineStr">
        <is>
          <t>GlossGenius</t>
        </is>
      </c>
      <c r="B30" s="11" t="n">
        <v>3978</v>
      </c>
      <c r="C30" s="11" t="n">
        <v>1</v>
      </c>
      <c r="D30" s="11" t="inlineStr"/>
    </row>
    <row r="31">
      <c r="A31" s="11" t="inlineStr">
        <is>
          <t>Acuity</t>
        </is>
      </c>
      <c r="B31" s="11" t="n">
        <v>3338</v>
      </c>
      <c r="C31" s="11" t="n">
        <v>4</v>
      </c>
      <c r="D31" s="11" t="inlineStr"/>
    </row>
    <row r="32">
      <c r="A32" s="11" t="inlineStr">
        <is>
          <t>Setmore</t>
        </is>
      </c>
      <c r="B32" s="11" t="n">
        <v>1158</v>
      </c>
      <c r="C32" s="11" t="n">
        <v>1</v>
      </c>
      <c r="D32" s="11" t="inlineStr"/>
    </row>
    <row r="33">
      <c r="A33" s="11" t="inlineStr">
        <is>
          <t>GoDaddy</t>
        </is>
      </c>
      <c r="B33" s="11" t="n">
        <v>56</v>
      </c>
      <c r="C33" s="11" t="n">
        <v>2</v>
      </c>
      <c r="D33" s="11" t="inlineStr"/>
    </row>
    <row r="35">
      <c r="A35" s="4" t="inlineStr">
        <is>
          <t>RECONCILIATION — why this sheet says $632,036 and the written report says $645,568</t>
        </is>
      </c>
    </row>
    <row r="36" ht="58" customHeight="1">
      <c r="A36" s="30" t="inlineStr">
        <is>
          <t>This workbook aggregates the 444 locations in scheduling.onboarding. scheduling.payments contains one further paying entity with no onboarding record, worth $13,532 across 1 account. All-entity truth: $645,568.21 / 6,061 completed transactions / 139 accounts. Neither figure is wrong; they have different denominators. Quote the all-entity number externally and this one when working from these sheets.</t>
        </is>
      </c>
    </row>
  </sheetData>
  <mergeCells count="1">
    <mergeCell ref="A36:D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5" customWidth="1" min="3" max="3"/>
    <col width="62" customWidth="1" min="4" max="4"/>
  </cols>
  <sheetData>
    <row r="1">
      <c r="A1" s="1" t="inlineStr">
        <is>
          <t>Why accounts did not convert</t>
        </is>
      </c>
    </row>
    <row r="2">
      <c r="A2" s="15" t="inlineStr">
        <is>
          <t>Two classes of evidence. The mechanical evidence is reliable. The stated evidence is directional only.</t>
        </is>
      </c>
    </row>
    <row r="4">
      <c r="A4" s="4" t="inlineStr">
        <is>
          <t>MECHANICAL — proven by the funnel</t>
        </is>
      </c>
    </row>
    <row r="5">
      <c r="A5" s="7" t="inlineStr">
        <is>
          <t>Finding</t>
        </is>
      </c>
      <c r="B5" s="7" t="inlineStr">
        <is>
          <t>Value</t>
        </is>
      </c>
      <c r="C5" s="7" t="inlineStr">
        <is>
          <t>Why it matters</t>
        </is>
      </c>
    </row>
    <row r="6">
      <c r="A6" s="17" t="inlineStr">
        <is>
          <t>Locations that skipped payment setup</t>
        </is>
      </c>
      <c r="B6" s="17">
        <f>SUMPRODUCT(--(Locations!$K$2:$K$445=TRUE))</f>
        <v/>
      </c>
      <c r="C6" s="17" t="inlineStr">
        <is>
          <t>No deposits, no no-show fees. An account without payments is running a diary, and a diary loses to the incumbent.</t>
        </is>
      </c>
    </row>
    <row r="7">
      <c r="A7" s="11" t="inlineStr">
        <is>
          <t>Locations that configured payments</t>
        </is>
      </c>
      <c r="B7" s="11">
        <f>SUMPRODUCT(--(Locations!$J$2:$J$445=TRUE))</f>
        <v/>
      </c>
      <c r="C7" s="11" t="inlineStr"/>
    </row>
    <row r="8">
      <c r="A8" s="17" t="inlineStr">
        <is>
          <t>Enabled but never took a booking</t>
        </is>
      </c>
      <c r="B8" s="17">
        <f>SUMPRODUCT(--(Locations!$M$2:$M$445=TRUE),--(Locations!$O$2:$O$445=0))</f>
        <v/>
      </c>
      <c r="C8" s="17" t="inlineStr">
        <is>
          <t>Completed every setup step, then did nothing. Setup completion is being mistaken for adoption.</t>
        </is>
      </c>
    </row>
    <row r="9">
      <c r="A9" s="11" t="inlineStr">
        <is>
          <t>Enabled but dormant (no booking in 30d)</t>
        </is>
      </c>
      <c r="B9" s="11">
        <f>SUMPRODUCT(--(Locations!$M$2:$M$445=TRUE),--(Locations!$T$2:$T$445&lt;Summary!$B$3-30))</f>
        <v/>
      </c>
      <c r="C9" s="11" t="inlineStr"/>
    </row>
    <row r="10">
      <c r="A10" s="11" t="inlineStr">
        <is>
          <t>Accounts that imported history from a rival</t>
        </is>
      </c>
      <c r="B10" s="11">
        <f>SUMPRODUCT(--(Locations!$R$2:$R$445&lt;&gt;""))</f>
        <v/>
      </c>
      <c r="C10" s="11" t="inlineStr">
        <is>
          <t>Only this many actually moved their history across.</t>
        </is>
      </c>
    </row>
    <row r="13">
      <c r="A13" s="4" t="inlineStr">
        <is>
          <t>STATED — topic prevalence across 1,829 scheduling calls, 01/11/25 to 03/08/26</t>
        </is>
      </c>
    </row>
    <row r="14">
      <c r="A14" s="15" t="inlineStr">
        <is>
          <t>Hardcoded. Source: regex over sales.fireflies_meeting.summary, queried 03/08/26. CAUTION: these calls carry no entity_id, so these reasons CANNOT be counted per account. Do not present as 'N accounts said X'.</t>
        </is>
      </c>
    </row>
    <row r="15">
      <c r="A15" s="7" t="inlineStr">
        <is>
          <t>Topic</t>
        </is>
      </c>
      <c r="B15" s="7" t="inlineStr">
        <is>
          <t>Calls</t>
        </is>
      </c>
      <c r="C15" s="7" t="inlineStr">
        <is>
          <t>Share of 1,829</t>
        </is>
      </c>
      <c r="D15" s="7" t="inlineStr">
        <is>
          <t>Comment</t>
        </is>
      </c>
    </row>
    <row r="16">
      <c r="A16" s="11" t="inlineStr">
        <is>
          <t>Deferred / 'not right now'</t>
        </is>
      </c>
      <c r="B16" s="11" t="n">
        <v>441</v>
      </c>
      <c r="C16" s="21">
        <f>B16/1829</f>
        <v/>
      </c>
      <c r="D16" s="11" t="inlineStr"/>
    </row>
    <row r="17">
      <c r="A17" s="11" t="inlineStr">
        <is>
          <t>Migration or data-transfer effort</t>
        </is>
      </c>
      <c r="B17" s="11" t="n">
        <v>247</v>
      </c>
      <c r="C17" s="21">
        <f>B17/1829</f>
        <v/>
      </c>
      <c r="D17" s="11" t="inlineStr"/>
    </row>
    <row r="18">
      <c r="A18" s="11" t="inlineStr">
        <is>
          <t>Payments, deposits, no-show fees</t>
        </is>
      </c>
      <c r="B18" s="11" t="n">
        <v>227</v>
      </c>
      <c r="C18" s="21">
        <f>B18/1829</f>
        <v/>
      </c>
      <c r="D18" s="11" t="inlineStr">
        <is>
          <t>Matches the mechanical finding above</t>
        </is>
      </c>
    </row>
    <row r="19">
      <c r="A19" s="11" t="inlineStr">
        <is>
          <t>Contract / lock-in language</t>
        </is>
      </c>
      <c r="B19" s="11" t="n">
        <v>215</v>
      </c>
      <c r="C19" s="21">
        <f>B19/1829</f>
        <v/>
      </c>
      <c r="D19" s="11" t="inlineStr">
        <is>
          <t>Noisy — 'contract' matches loosely</t>
        </is>
      </c>
    </row>
    <row r="20">
      <c r="A20" s="11" t="inlineStr">
        <is>
          <t>Named an incumbent competitor</t>
        </is>
      </c>
      <c r="B20" s="11" t="n">
        <v>303</v>
      </c>
      <c r="C20" s="21">
        <f>B20/1829</f>
        <v/>
      </c>
      <c r="D20" s="11" t="inlineStr">
        <is>
          <t>The reliable signal</t>
        </is>
      </c>
    </row>
    <row r="21">
      <c r="A21" s="11" t="inlineStr">
        <is>
          <t>Explicit refusal language</t>
        </is>
      </c>
      <c r="B21" s="11" t="n">
        <v>174</v>
      </c>
      <c r="C21" s="21">
        <f>B21/1829</f>
        <v/>
      </c>
      <c r="D21" s="11" t="inlineStr"/>
    </row>
    <row r="22">
      <c r="A22" s="11" t="inlineStr">
        <is>
          <t>Prefers phone / walk-in / manual</t>
        </is>
      </c>
      <c r="B22" s="11" t="n">
        <v>119</v>
      </c>
      <c r="C22" s="21">
        <f>B22/1829</f>
        <v/>
      </c>
      <c r="D22" s="11" t="inlineStr"/>
    </row>
    <row r="23">
      <c r="A23" s="11" t="inlineStr">
        <is>
          <t>Price or budget</t>
        </is>
      </c>
      <c r="B23" s="11" t="n">
        <v>69</v>
      </c>
      <c r="C23" s="21">
        <f>B23/1829</f>
        <v/>
      </c>
      <c r="D23" s="11" t="inlineStr"/>
    </row>
    <row r="24">
      <c r="A24" s="11" t="inlineStr">
        <is>
          <t>Staff resistance or complexity</t>
        </is>
      </c>
      <c r="B24" s="11" t="n">
        <v>42</v>
      </c>
      <c r="C24" s="21">
        <f>B24/1829</f>
        <v/>
      </c>
      <c r="D24" s="11" t="inlineStr"/>
    </row>
    <row r="26">
      <c r="A26" s="4" t="inlineStr">
        <is>
          <t>INCUMBENTS NAMED IN CALL SUMMARIES</t>
        </is>
      </c>
    </row>
    <row r="27">
      <c r="A27" s="15" t="inlineStr">
        <is>
          <t>Hardcoded, same source. Square is inflated — the word matches non-product uses. Treat Vagaro, Booksy, Mindbody and Fresha as the reliable signals.</t>
        </is>
      </c>
    </row>
    <row r="28">
      <c r="A28" s="7" t="inlineStr">
        <is>
          <t>Competitor</t>
        </is>
      </c>
      <c r="B28" s="7" t="inlineStr">
        <is>
          <t>Calls naming it</t>
        </is>
      </c>
      <c r="C28" s="7" t="inlineStr"/>
      <c r="D28" s="7" t="inlineStr"/>
    </row>
    <row r="29">
      <c r="A29" s="11" t="inlineStr">
        <is>
          <t>Square (inflated)</t>
        </is>
      </c>
      <c r="B29" s="11" t="n">
        <v>269</v>
      </c>
      <c r="C29" s="11" t="inlineStr"/>
      <c r="D29" s="11" t="inlineStr"/>
    </row>
    <row r="30">
      <c r="A30" s="11" t="inlineStr">
        <is>
          <t>Vagaro</t>
        </is>
      </c>
      <c r="B30" s="11" t="n">
        <v>105</v>
      </c>
      <c r="C30" s="11" t="inlineStr"/>
      <c r="D30" s="11" t="inlineStr"/>
    </row>
    <row r="31">
      <c r="A31" s="11" t="inlineStr">
        <is>
          <t>Booksy</t>
        </is>
      </c>
      <c r="B31" s="11" t="n">
        <v>46</v>
      </c>
      <c r="C31" s="11" t="inlineStr"/>
      <c r="D31" s="11" t="inlineStr"/>
    </row>
    <row r="32">
      <c r="A32" s="11" t="inlineStr">
        <is>
          <t>Mindbody</t>
        </is>
      </c>
      <c r="B32" s="11" t="n">
        <v>39</v>
      </c>
      <c r="C32" s="11" t="inlineStr"/>
      <c r="D32" s="11" t="inlineStr"/>
    </row>
    <row r="33">
      <c r="A33" s="11" t="inlineStr">
        <is>
          <t>Fresha</t>
        </is>
      </c>
      <c r="B33" s="11" t="n">
        <v>35</v>
      </c>
      <c r="C33" s="11" t="inlineStr"/>
      <c r="D33" s="11" t="inlineStr"/>
    </row>
    <row r="34">
      <c r="A34" s="11" t="inlineStr">
        <is>
          <t>Acuity</t>
        </is>
      </c>
      <c r="B34" s="11" t="n">
        <v>26</v>
      </c>
      <c r="C34" s="11" t="inlineStr"/>
      <c r="D34" s="11" t="inlineStr"/>
    </row>
    <row r="35">
      <c r="A35" s="11" t="inlineStr">
        <is>
          <t>StyleSeat</t>
        </is>
      </c>
      <c r="B35" s="11" t="n">
        <v>11</v>
      </c>
      <c r="C35" s="11" t="inlineStr"/>
      <c r="D35" s="11" t="inlineStr"/>
    </row>
    <row r="36">
      <c r="A36" s="11" t="inlineStr">
        <is>
          <t>GlossGenius</t>
        </is>
      </c>
      <c r="B36" s="11" t="n">
        <v>11</v>
      </c>
      <c r="C36" s="11" t="inlineStr"/>
      <c r="D36" s="11" t="inlineStr"/>
    </row>
    <row r="37">
      <c r="A37" s="11" t="inlineStr">
        <is>
          <t>Boulevard / Phorest / Setmore / Schedulicity</t>
        </is>
      </c>
      <c r="B37" s="11" t="n">
        <v>43</v>
      </c>
      <c r="C37" s="11" t="inlineStr"/>
      <c r="D37" s="11" t="inlineStr"/>
    </row>
    <row r="39">
      <c r="A39" s="4" t="inlineStr">
        <is>
          <t>THEMES VERIFIED BY READING CALL EXCERPTS BY HAND</t>
        </is>
      </c>
    </row>
    <row r="40" ht="28" customHeight="1">
      <c r="A40" s="3" t="inlineStr">
        <is>
          <t>• Feature gaps keep the old system alive — staff revenue and commission reporting, clock-in/out, staff permission levels, calendar column-per-staff view, selective client blocking, package and membership migration, intake forms.</t>
        </is>
      </c>
    </row>
    <row r="41" ht="28" customHeight="1">
      <c r="A41" s="3" t="inlineStr">
        <is>
          <t>• Payment processor economics — Stripe rates raised as a negotiation point rather than accepted.</t>
        </is>
      </c>
    </row>
    <row r="42" ht="28" customHeight="1">
      <c r="A42" s="3" t="inlineStr">
        <is>
          <t>• Base subscription price — $149/month cited as unaffordable by an account under budget freeze. A whole-platform objection, not a scheduling one.</t>
        </is>
      </c>
    </row>
    <row r="43" ht="28" customHeight="1">
      <c r="A43" s="3" t="inlineStr">
        <is>
          <t>• Rollback on confusion — at least one account asked for the booking system to be revoked 'to reduce confusion and inefficiency' after enabling it.</t>
        </is>
      </c>
    </row>
    <row r="44" ht="28" customHeight="1">
      <c r="A44" s="3" t="inlineStr">
        <is>
          <t>• Free is the wedge that works — where the pitch replaces a paid incumbent at no cost, it lands. Cost displacement is the strongest observed motivator.</t>
        </is>
      </c>
    </row>
  </sheetData>
  <mergeCells count="5">
    <mergeCell ref="A40:D40"/>
    <mergeCell ref="A43:D43"/>
    <mergeCell ref="A41:D41"/>
    <mergeCell ref="A42:D42"/>
    <mergeCell ref="A44:D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2" customWidth="1" min="2" max="2"/>
    <col width="62" customWidth="1" min="3" max="3"/>
  </cols>
  <sheetData>
    <row r="1">
      <c r="A1" s="1" t="inlineStr">
        <is>
          <t>Where a pitch record should live, and what is actually there</t>
        </is>
      </c>
    </row>
    <row r="2">
      <c r="A2" s="15" t="inlineStr">
        <is>
          <t>This is the finding underneath the finding: the pitch is recoverable by archaeology, but it is not recorded.</t>
        </is>
      </c>
    </row>
    <row r="4">
      <c r="A4" s="7" t="inlineStr">
        <is>
          <t>System / table</t>
        </is>
      </c>
      <c r="B4" s="7" t="inlineStr">
        <is>
          <t>What is actually there</t>
        </is>
      </c>
      <c r="C4" s="7" t="inlineStr">
        <is>
          <t>Consequence</t>
        </is>
      </c>
    </row>
    <row r="5" ht="44" customHeight="1">
      <c r="A5" s="27" t="inlineStr">
        <is>
          <t>cx.upsell_potential</t>
        </is>
      </c>
      <c r="B5" s="27" t="inlineStr">
        <is>
          <t>Covers only the five AI agents (ADS, WIN, LOYALTY, SOCIAL, DISCOVERY). No scheduling row. Stops 12/01/26. All 3,124 rows status POTENTIAL, upsold_amount = 0 on every row.</t>
        </is>
      </c>
      <c r="C5" s="27" t="inlineStr">
        <is>
          <t>No upsell tracking for scheduling at all</t>
        </is>
      </c>
    </row>
    <row r="6" ht="44" customHeight="1">
      <c r="A6" s="27" t="inlineStr">
        <is>
          <t>sales.customer_meetings.product</t>
        </is>
      </c>
      <c r="B6" s="27" t="inlineStr">
        <is>
          <t>Null on 11,113 of 11,128 rows (99.9%). The 15 populated rows are May 2025 only.</t>
        </is>
      </c>
      <c r="C6" s="27" t="inlineStr">
        <is>
          <t>Cannot tell which product a meeting was about</t>
        </is>
      </c>
    </row>
    <row r="7" ht="44" customHeight="1">
      <c r="A7" s="27" t="inlineStr">
        <is>
          <t>sales.fireflies_meeting.entity_id</t>
        </is>
      </c>
      <c r="B7" s="27" t="inlineStr">
        <is>
          <t>Populated on 431 of 22,242 rows (1.9%).</t>
        </is>
      </c>
      <c r="C7" s="27" t="inlineStr">
        <is>
          <t>Useless as a join key — attribution had to go via participant email instead</t>
        </is>
      </c>
    </row>
    <row r="8" ht="44" customHeight="1">
      <c r="A8" s="27" t="inlineStr">
        <is>
          <t>cx.open_issues / cx.churn_potential</t>
        </is>
      </c>
      <c r="B8" s="27" t="inlineStr">
        <is>
          <t>Both stop writing 14/01/26 — two weeks BEFORE scheduling launched.</t>
        </is>
      </c>
      <c r="C8" s="27" t="inlineStr">
        <is>
          <t>The qualitative feed went dark at the worst possible moment</t>
        </is>
      </c>
    </row>
    <row r="9" ht="44" customHeight="1">
      <c r="A9" s="27" t="inlineStr">
        <is>
          <t>offboarding.reason_template_mapping</t>
        </is>
      </c>
      <c r="B9" s="27" t="inlineStr">
        <is>
          <t>30 rows total, exactly 5 per reason.</t>
        </is>
      </c>
      <c r="C9" s="27" t="inlineStr">
        <is>
          <t>A seeded template list, not collected data</t>
        </is>
      </c>
    </row>
    <row r="10" ht="44" customHeight="1">
      <c r="A10" s="27" t="inlineStr">
        <is>
          <t>Chargebee catalogue</t>
        </is>
      </c>
      <c r="B10" s="27" t="inlineStr">
        <is>
          <t>No scheduling SKU. Closest items are Booking-Agent, Lead-to-Booking, FrontDesk.</t>
        </is>
      </c>
      <c r="C10" s="27" t="inlineStr">
        <is>
          <t>Scheduling is bundled, so billing shows no adoption signal</t>
        </is>
      </c>
    </row>
    <row r="11" ht="44" customHeight="1">
      <c r="A11" s="27" t="inlineStr">
        <is>
          <t>scheduling.onboarding.entity_id</t>
        </is>
      </c>
      <c r="B11" s="27" t="inlineStr">
        <is>
          <t>Zero overlap with bookings or Chargebee. The account key is location_entity_id.</t>
        </is>
      </c>
      <c r="C11" s="27" t="inlineStr">
        <is>
          <t>A join on entity_id returns a valid-looking all-zero result rather than an error</t>
        </is>
      </c>
    </row>
    <row r="13">
      <c r="A13" s="4" t="inlineStr">
        <is>
          <t>TO MAKE THIS ANSWERABLE WITHOUT ARCHAEOLOGY</t>
        </is>
      </c>
    </row>
    <row r="14">
      <c r="A14" s="7" t="inlineStr">
        <is>
          <t>Priority</t>
        </is>
      </c>
      <c r="B14" s="7" t="inlineStr">
        <is>
          <t>Action</t>
        </is>
      </c>
      <c r="C14" s="7" t="inlineStr">
        <is>
          <t>Why</t>
        </is>
      </c>
    </row>
    <row r="15" ht="34" customHeight="1">
      <c r="A15" s="27" t="n">
        <v>1</v>
      </c>
      <c r="B15" s="27" t="inlineStr">
        <is>
          <t>Add pitched_at / pitched_by / pitch_outcome / decline_reason to the scheduling onboarding record, set when an AM makes the offer</t>
        </is>
      </c>
      <c r="C15" s="27" t="inlineStr">
        <is>
          <t>Without it every future version of this question needs a month of transcript work</t>
        </is>
      </c>
    </row>
    <row r="16" ht="34" customHeight="1">
      <c r="A16" s="27" t="n">
        <v>2</v>
      </c>
      <c r="B16" s="27" t="inlineStr">
        <is>
          <t>Backfill entity_id on Fireflies rows from participants email</t>
        </is>
      </c>
      <c r="C16" s="27" t="inlineStr">
        <is>
          <t>98% of call intelligence is currently unattributable; this unlocks it retrospectively and makes the pitch a live metric</t>
        </is>
      </c>
    </row>
    <row r="17" ht="34" customHeight="1">
      <c r="A17" s="27" t="n">
        <v>3</v>
      </c>
      <c r="B17" s="27" t="inlineStr">
        <is>
          <t>Find out why cx.open_issues and cx.churn_potential stopped writing on 14/01/26</t>
        </is>
      </c>
      <c r="C17" s="27" t="inlineStr">
        <is>
          <t>Two account-health tables going dark together is either a broken job or a decommissioned pipeline</t>
        </is>
      </c>
    </row>
    <row r="18" ht="34" customHeight="1">
      <c r="A18" s="27" t="n">
        <v>4</v>
      </c>
      <c r="B18" s="27" t="inlineStr">
        <is>
          <t>Instrument dormancy, not setup</t>
        </is>
      </c>
      <c r="C18" s="27" t="inlineStr">
        <is>
          <t>'Scheduling enabled' is the visible metric; 'booked in the last 30 days' is the one that matters and is 2.5x smaller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2026-08-03T17:06:28Z</dcterms:created>
  <dcterms:modified xmlns:dcterms="http://purl.org/dc/terms/" xmlns:xsi="http://www.w3.org/2001/XMLSchema-instance" xsi:type="dcterms:W3CDTF">2026-08-03T17:49:40Z</dcterms:modified>
</cp:coreProperties>
</file>